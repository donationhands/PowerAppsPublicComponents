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lar_Metadata" sheetId="1" r:id="rId4"/>
    <sheet state="visible" name="Cluster_Posts" sheetId="2" r:id="rId5"/>
    <sheet state="visible" name="EXTERNAL_AUTHORITIES " sheetId="3" r:id="rId6"/>
  </sheets>
  <definedNames/>
  <calcPr/>
</workbook>
</file>

<file path=xl/sharedStrings.xml><?xml version="1.0" encoding="utf-8"?>
<sst xmlns="http://schemas.openxmlformats.org/spreadsheetml/2006/main" count="292" uniqueCount="229">
  <si>
    <t>pillar_id</t>
  </si>
  <si>
    <t>pillar_number</t>
  </si>
  <si>
    <t>pillar_title</t>
  </si>
  <si>
    <t>pillar_url_slug</t>
  </si>
  <si>
    <t>primary_keyword</t>
  </si>
  <si>
    <t>secondary_keywords</t>
  </si>
  <si>
    <t>target_word_count</t>
  </si>
  <si>
    <t>target_audience</t>
  </si>
  <si>
    <t>unique_positioning</t>
  </si>
  <si>
    <t>brand_voice</t>
  </si>
  <si>
    <t>title_tag</t>
  </si>
  <si>
    <t>meta_description</t>
  </si>
  <si>
    <t>category</t>
  </si>
  <si>
    <t>featured_image_url</t>
  </si>
  <si>
    <t>creation_priority</t>
  </si>
  <si>
    <t>status</t>
  </si>
  <si>
    <t>date_published</t>
  </si>
  <si>
    <t>wordpress_post_id</t>
  </si>
  <si>
    <t>notes</t>
  </si>
  <si>
    <t xml:space="preserve">cluster_count </t>
  </si>
  <si>
    <t xml:space="preserve">clusters_published </t>
  </si>
  <si>
    <t>pillar_completion_percentage</t>
  </si>
  <si>
    <t>post_url</t>
  </si>
  <si>
    <t>The Complete Guide to Mindful Beer Appreciation</t>
  </si>
  <si>
    <t>mindful-beer-appreciation-guide</t>
  </si>
  <si>
    <t>mindful beer appreciation</t>
  </si>
  <si>
    <t>mindful beer appreciation, conscious beer drinking, mindful beer tasting, how to taste beer mindfully, contemplative beer drinking, intentional beer consumption, mindfulness and craft beer, present moment beer drinking</t>
  </si>
  <si>
    <t>Craft beer enthusiasts interested in mindfulness, mindfulness practitioners curious about conscious drinking</t>
  </si>
  <si>
    <t>Only resource celebrating craft beer through contemplative practices</t>
  </si>
  <si>
    <t>Approachable expert - knowledgeable but not pretentious, enthusiastic but not preachy</t>
  </si>
  <si>
    <t>Discover the art of mindful beer appreciation—embrace conscious beer drinking, savor each sip, and transform your experience with intentional beer consumption.</t>
  </si>
  <si>
    <t>Not Started</t>
  </si>
  <si>
    <t>The Art of Mindful Beer and Food Pairing: A Comprehensive Guide</t>
  </si>
  <si>
    <t>mindful-beer-and-food-pairing</t>
  </si>
  <si>
    <t>beer and food pairing</t>
  </si>
  <si>
    <t>beer and food pairing guide, how to pair beer with food, beer pairing principles, mindful beer pairing, contemplative food pairing, beer and food matching, craft beer pairing guide, 3 c's of beer pairing, beer pairing framework</t>
  </si>
  <si>
    <t>Comprehensive guide covering the brewing process with mindfulness integration. Explores brewing steps (mashing, boiling, fermentation, conditioning), mindfulness techniques (breath awareness, gratitude, sensory engagement), spiritual significance of ingredients (water, malt, hops, yeast), sustainability practices, community building, and mindful beer tasting. Discusses health benefits and personal growth through brewing.</t>
  </si>
  <si>
    <t>Mindful Brewing: From Grain to Glass with Presence and Intention</t>
  </si>
  <si>
    <t>mindful-brewing</t>
  </si>
  <si>
    <t>mindful brewing</t>
  </si>
  <si>
    <t>mindful brewing, conscious beer making, brewing as meditation, intentional homebrewing, mindful homebrew, contemplative brewing process, brewing with presence, mindful craft brewing, conscious brewing practices</t>
  </si>
  <si>
    <t>Deep dive into the spiritual and meditative significance of the four basic brewing ingredients. Explores water as life/purity symbol with mindful pouring and gratitude rituals; malt as soul of beer with rebirth/transformation symbolism and sensory meditation; hops for relaxation with aromatic meditation and balancing rituals; yeast as transformation agent with biblical metaphors and mindful observation. Includes guidance on creating sacred brewing spaces with intention setting, space cleansing, and altar setup.</t>
  </si>
  <si>
    <t>Mindful Brewing</t>
  </si>
  <si>
    <t>Beer Through the Ages: Ancient Wisdom for Modern Mindfulness</t>
  </si>
  <si>
    <t>ancient-beer-history-and-timeless-wisdom</t>
  </si>
  <si>
    <t>ancient beer history</t>
  </si>
  <si>
    <t>ancient beer history, history of beer, beer in ancient civilizations, ancient brewing practices, historical beer, beer through the ages, ancient beer wisdom, evolution of beer, beer historical timeline</t>
  </si>
  <si>
    <t>Comprehensive exploration of ancient brewing as spiritual and meditative practice across civilizations. Covers origins of beer (7000 BCE China, 3500-3100 BCE Mesopotamia), Mesopotamian brewing with goddess Ninkasi and women as first brewers, Egyptian brewing with Osiris and goddess Tenenit including pyramid workers' beer rations, myth of Hathor/Sekhmet and beer saving humanity, mindfulness in ancient brewing (present moment focus, patience, rhythm as meditation), Norse Jul celebration brewing traditions, evolution of brewing techniques, and connections to modern mindful beer tasting.</t>
  </si>
  <si>
    <t>cluster_id</t>
  </si>
  <si>
    <t>pillar_name</t>
  </si>
  <si>
    <t>published_cluster_title</t>
  </si>
  <si>
    <t>cluster_title</t>
  </si>
  <si>
    <t>cluster_url_slug</t>
  </si>
  <si>
    <t>intent</t>
  </si>
  <si>
    <t>summary</t>
  </si>
  <si>
    <t>main_topics</t>
  </si>
  <si>
    <t>key_takeaway</t>
  </si>
  <si>
    <t>post_type</t>
  </si>
  <si>
    <t>creation_order</t>
  </si>
  <si>
    <t>existing_content_url</t>
  </si>
  <si>
    <t>Post Type</t>
  </si>
  <si>
    <t xml:space="preserve">pillar_title_reference </t>
  </si>
  <si>
    <t>The Science of Beer and Food Pairing: Unlocking Flavor Chemistry for Unforgettable Matches</t>
  </si>
  <si>
    <t>The Science of Beer and Food Pairing: Flavor Compounds Explained</t>
  </si>
  <si>
    <t>science-of-beer-food-pairing/</t>
  </si>
  <si>
    <t>science of beer and food pairing</t>
  </si>
  <si>
    <t>beer pairing science, flavor compound pairing, beer and food chemistry, aromatic molecules beer, why beer pairs with food, beer pairing flavor wheel, scientific beer pairing, beer food interaction chemistry</t>
  </si>
  <si>
    <t>Curious learners wanting scientific explanation of why certain pairings work</t>
  </si>
  <si>
    <t>Published</t>
  </si>
  <si>
    <t>/science-of-beer-food-pairing/</t>
  </si>
  <si>
    <t>https://onemindbrewing.com/wp-content/uploads/science-of-beer-food-pairing.png</t>
  </si>
  <si>
    <t>Planned</t>
  </si>
  <si>
    <t>The Ultimate Guide to IPA Food Pairing</t>
  </si>
  <si>
    <t>IPA Food Pairing Guide: From Mild to Double IPA</t>
  </si>
  <si>
    <t>ipa-food-pairing-guide/</t>
  </si>
  <si>
    <t>IPA food pairing</t>
  </si>
  <si>
    <t>IPA food pairing, what food goes with IPA, hazy IPA food pairing, west coast IPA pairing, double IPA food, session IPA pairing, IPA and spicy food, best food with IPA, NEIPA pairing, bitter beer food pairing</t>
  </si>
  <si>
    <t>IPA drinkers seeking specific food recommendations for different IPA styles</t>
  </si>
  <si>
    <t>/ipa-food-pairing-guide/</t>
  </si>
  <si>
    <t>https://onemindbrewing.com/wp-content/uploads/ipa-food-pairing-guide.png</t>
  </si>
  <si>
    <t>The Ultimate Guide to Beer and Cheese Pairing</t>
  </si>
  <si>
    <t>Beer and Cheese: A Contemplative Pairing Experience</t>
  </si>
  <si>
    <t>beer-and-cheese-pairing-guide/</t>
  </si>
  <si>
    <t>beer and cheese pairing</t>
  </si>
  <si>
    <t>beer and cheese pairing, best beer with cheese, cheese and craft beer pairing, beer cheese pairing chart, aged cheddar and beer, blue cheese beer pairing, beer vs wine with cheese, artisan cheese beer pairing</t>
  </si>
  <si>
    <t>Cheese lovers and beer enthusiasts seeking elevated pairing experiences</t>
  </si>
  <si>
    <t>/beer-and-cheese-pairing-guide</t>
  </si>
  <si>
    <t>https://onemindbrewing.com/wp-content/uploads/beer-and-cheese-pairing-guide.png</t>
  </si>
  <si>
    <t>Beer Meditation: A Mindful Guide to Enhancing Your Beer Tasting Experience</t>
  </si>
  <si>
    <t>Beer Meditation 101: A Beginner's Guide to Contemplative Tasting</t>
  </si>
  <si>
    <t>beer-meditation-guide-tasting-experience</t>
  </si>
  <si>
    <t>beer meditation</t>
  </si>
  <si>
    <t>beer meditation, meditation for beer tasting, contemplative beer tasting, how to meditate with beer, beer tasting meditation guide, mindful beer drinking meditation, beer tasting mindfulness exercises, guided beer meditation</t>
  </si>
  <si>
    <t>Beginners seeking step-by-step meditation practices specifically for beer tasting experiences</t>
  </si>
  <si>
    <t>/beer-meditation-guide-tasting-experience</t>
  </si>
  <si>
    <t>https://onemindbrewing.com/wp-content/uploads/beer-meditation-guide-tasting-experience.png</t>
  </si>
  <si>
    <t>How to Taste Beer Using Five Senses: Transform Your Drinking Experience with Sensory Beer Analysis</t>
  </si>
  <si>
    <t>The Five-Senses Framework for Beer Appreciation</t>
  </si>
  <si>
    <t>how-to-taste-beer-five-senses/</t>
  </si>
  <si>
    <t>how to taste beer using five senses</t>
  </si>
  <si>
    <t>beer sensory analysis, five senses beer tasting, how to taste beer properly, beer tasting technique, beer aroma identification, beer flavor profile, beer appearance evaluation, beer mouthfeel analysis, sensory beer appreciation</t>
  </si>
  <si>
    <t>Beer enthusiasts wanting to develop sensory analysis skills and learn professional tasting techniques</t>
  </si>
  <si>
    <t>/how-to-taste-beer-five-senses</t>
  </si>
  <si>
    <t>https://onemindbrewing.com/wp-content/uploads/how-to-taste-beer-five-senses.png</t>
  </si>
  <si>
    <t>Mindful Drinking vs Mindless Consumption: How to Create a Balanced Approach to Beer</t>
  </si>
  <si>
    <t>Mindful Drinking vs. Mindless Consumption: Finding Your Balance</t>
  </si>
  <si>
    <t>mindful-drinking-vs-mindless-consumption/</t>
  </si>
  <si>
    <t>mindful drinking vs mindless consumption</t>
  </si>
  <si>
    <t>mindful drinking vs mindless drinking, conscious alcohol consumption, how to drink less beer, intentional drinking habits, quality over quantity drinking, mindful beer consumption tips, drinking with intention, beer moderation mindfulness</t>
  </si>
  <si>
    <t>Health-conscious drinkers seeking balance between enjoyment and moderation</t>
  </si>
  <si>
    <t>/mindful-drinking-vs-mindless-consumption</t>
  </si>
  <si>
    <t>https://onemindbrewing.com/wp-content/uploads/mindful-drinking-vs-mindless-consumption.png</t>
  </si>
  <si>
    <t>Contemplative Brewery Visits: How to Enhance Your Beer Tourism Experience</t>
  </si>
  <si>
    <t>Contemplative Brewery Visits: A Guide to Intentional Beer Tourism</t>
  </si>
  <si>
    <t>contemplative-brewery-visits-guide</t>
  </si>
  <si>
    <t>contemplative brewery visits</t>
  </si>
  <si>
    <t>mindful brewery visit, intentional beer tourism, conscious brewery tour, how to visit breweries mindfully, meaningful brewery experience, mindful craft beer travel, contemplative brewery experience, brewery tours with intention</t>
  </si>
  <si>
    <t>Beer tourists wanting more meaningful brewery experiences beyond typical tours</t>
  </si>
  <si>
    <t>/contemplative-brewery-visits-guide</t>
  </si>
  <si>
    <t>https://onemindbrewing.com/wp-content/uploads/contemplative-brewery-visits-guide.png</t>
  </si>
  <si>
    <t>Buddhism and Craft Beer: Exploring Mindfulness, Moderation, and Spiritual Balance</t>
  </si>
  <si>
    <t>The Buddhist Beer Lover's Dilemma: Finding Harmony</t>
  </si>
  <si>
    <t>buddhism-and-craft-beer-balance/</t>
  </si>
  <si>
    <t>buddhism and craft beer</t>
  </si>
  <si>
    <t>buddhism and alcohol, can buddhists drink beer, mindfulness and drinking alcohol, buddhist perspective on beer, drinking alcohol mindfully buddhism, zen and beer drinking, conscious drinking buddhism, meditation and alcohol consumption</t>
  </si>
  <si>
    <t>Spiritual practitioners exploring compatibility of alcohol with meditation practices</t>
  </si>
  <si>
    <t>/buddhism-and-craft-beer-balance/</t>
  </si>
  <si>
    <t>https://onemindbrewing.com/wp-content/uploads/buddhism-and-craft-beer-balance.png</t>
  </si>
  <si>
    <t>Non-Alcoholic Craft Beer Guide: Everything You Need to Know About Mindful Drinking</t>
  </si>
  <si>
    <t>Non-Alcoholic Craft Beer: The Mindful Drinker's Guide</t>
  </si>
  <si>
    <t>non-alcoholic-craft-beer-guide</t>
  </si>
  <si>
    <t>non-alcoholic craft beer guide</t>
  </si>
  <si>
    <t>best non-alcoholic craft beer, NA beer guide, non-alcoholic beer recommendations, alcohol-free craft beer, mindful non-alcoholic drinking, sober curious beer options, best NA beer for pairing, zero alcohol craft beer</t>
  </si>
  <si>
    <t>Curious drinkers exploring NA options or participating in sober-curious movement</t>
  </si>
  <si>
    <t>/non-alcoholic-craft-beer-guide</t>
  </si>
  <si>
    <t>https://onemindbrewing.com/wp-content/uploads/non-alcoholic-craft-beer-guide.png</t>
  </si>
  <si>
    <t>Seasonal Beer Mindfulness: How to Align Your Beer Choices with Nature's Rhythms</t>
  </si>
  <si>
    <t>Seasonal Beer Mindfulness: Connecting to Nature's Rhythms</t>
  </si>
  <si>
    <t>seasonal-beer-mindfulness-guide</t>
  </si>
  <si>
    <t>seasonal beer mindfulness</t>
  </si>
  <si>
    <t>seasonal beer guide, seasonal craft beer calendar, fresh hop season, winter beer styles, spring beer releases, mindful seasonal drinking, connecting beer to seasons, seasonal beer appreciation, craft beer seasons</t>
  </si>
  <si>
    <t>Beer lovers wanting to connect seasonal drinking with natural cycles and intentional consumption</t>
  </si>
  <si>
    <t>/seasonal-beer-mindfulness-guide</t>
  </si>
  <si>
    <t>https://onemindbrewing.com/wp-content/uploads/seasonal-beer-mindfulness-guide.png</t>
  </si>
  <si>
    <t>How to Build a Mindful Beer Community: A Complete Guide to Conscious Craft Beer Culture</t>
  </si>
  <si>
    <t>Building a Mindful Beer Community: Beyond the Bar</t>
  </si>
  <si>
    <t>how-to-build-mindful-beer-community</t>
  </si>
  <si>
    <t>how to build mindful beer community</t>
  </si>
  <si>
    <t>mindful beer community, beer tasting circle, contemplative beer group, hosting mindful beer dinner, beer meditation group, conscious drinking community, mindful beer club, creating beer community, mindful beer events</t>
  </si>
  <si>
    <t>Community organizers seeking to create contemplative beer tasting groups</t>
  </si>
  <si>
    <t>/how-to-build-mindful-beer-community</t>
  </si>
  <si>
    <t>https://onemindbrewing.com/wp-content/uploads/how-to-build-mindful-beer-community.png</t>
  </si>
  <si>
    <t>Spicy Food and Beer: Heat, Balance, and Mindful Enjoyment</t>
  </si>
  <si>
    <t>beer with spicy food</t>
  </si>
  <si>
    <t>beer with spicy food, best beer for indian food, beer and thai food pairing, beer with hot wings, mexican food beer pairing, beer that goes with spicy food, how beer cools spice, beer and curry pairing, capsaicin beer pairing</t>
  </si>
  <si>
    <t>Lovers of spicy cuisine seeking beers that complement heat</t>
  </si>
  <si>
    <t>Seasonal Pairing Calendar: 52 Weeks of Beer and Food Harmony</t>
  </si>
  <si>
    <t>seasonal beer and food calendar</t>
  </si>
  <si>
    <t>seasonal beer food pairing, spring beer pairing, summer beer and food, fall beer pairing, winter beer food, seasonal beer dinner menu, farm to table beer pairing, monthly beer pairing, seasonal ingredients beer</t>
  </si>
  <si>
    <t>Home cooks and entertainers planning seasonal meals with beer</t>
  </si>
  <si>
    <t>Dessert and Beer: Sweet Endings with Contemplative Sips</t>
  </si>
  <si>
    <t>dessert and beer pairing</t>
  </si>
  <si>
    <t>beer and dessert pairing, chocolate and stout pairing, beer with ice cream, fruit beer dessert pairing, imperial stout dessert, beer and cake pairing, sweet beer pairing, beer with chocolate, dessert beer guide</t>
  </si>
  <si>
    <t>Adventurous eaters seeking alternatives to wine with dessert</t>
  </si>
  <si>
    <t>Ancient Beer Styles Paired with Modern Cuisine</t>
  </si>
  <si>
    <t>ancient beer with modern cuisine</t>
  </si>
  <si>
    <t>ancient beer pairing, sumerian beer food pairing, egyptian beer modern food, historical beer pairing, ancient beer styles pairing, mesopotamian beer food, recreated ancient beer pairing, archaeological beer cuisine</t>
  </si>
  <si>
    <t>History enthusiasts and adventurous diners seeking unique pairing experiences</t>
  </si>
  <si>
    <t>Creating Mindful Beer Pairing Dinners: A Host's Guide</t>
  </si>
  <si>
    <t>hosting mindful beer pairing dinners</t>
  </si>
  <si>
    <t>how to host beer dinner, beer pairing dinner party, mindful beer dinner, multi-course beer pairing, beer tasting dinner menu, hosting beer pairing event, contemplative beer dinner, beer dinner planning guide</t>
  </si>
  <si>
    <t>Event planners and hosts creating contemplative multi-course experiences</t>
  </si>
  <si>
    <t>The Hymn to Ninkasi: World's Oldest Beer Recipe as Sacred Text</t>
  </si>
  <si>
    <t>hymn to ninkasi</t>
  </si>
  <si>
    <t>hymn to ninkasi, oldest beer recipe, sumerian beer, ninkasi goddess, mesopotamian beer recipe, ancient sumerian beer, 4000 year old beer recipe, ninkasi beer poem, ancient beer recipe sumerian</t>
  </si>
  <si>
    <t>Beer historians and homebrewers wanting to explore world's oldest beer recipe</t>
  </si>
  <si>
    <t>Egyptian Beer: Pyramid Builders, Goddesses, and Daily Rituals</t>
  </si>
  <si>
    <t>ancient egyptian beer</t>
  </si>
  <si>
    <t>ancient egyptian beer, egyptian beer history, beer in ancient egypt, pyramid builders beer, egyptian brewing methods, ancient egypt daily beer rations, goddess of beer egypt, hathor beer goddess, egyptian beer recipe</t>
  </si>
  <si>
    <t>Ancient history enthusiasts exploring Egyptian brewing culture</t>
  </si>
  <si>
    <t>Archaeological Brewing: Recreating 13,000-Year-Old Beer</t>
  </si>
  <si>
    <t>recreating ancient beer</t>
  </si>
  <si>
    <t>archaeological brewing, recreating ancient beer, 13000 year old beer, raqefet cave beer, patrick mcgovern beer, ancient beer archaeology, dogfish head ancient ales, experimental archaeology beer, biomolecular archaeology beer</t>
  </si>
  <si>
    <t>Experimental brewers recreating ancient recipes</t>
  </si>
  <si>
    <t>Women as Ancient Brewers: The Forgotten History</t>
  </si>
  <si>
    <t>women as ancient brewers</t>
  </si>
  <si>
    <t>women brewers history, female brewers ancient, women in brewing history, alewives history, ancient women brewers, brewing goddess history, female brewing heritage, women beer history, forgotten women brewers</t>
  </si>
  <si>
    <t>History seekers exploring women's role in brewing heritage</t>
  </si>
  <si>
    <t>Brewing as Meditation: The Zen of Homebrew</t>
  </si>
  <si>
    <t>brewing as meditation</t>
  </si>
  <si>
    <t>brewing meditation, homebrew as meditation, zen of homebrewing, meditative brewing, mindful brew day, brewing mindfulness practice, contemplative homebrewing, brewing as moving meditation, presence in brewing</t>
  </si>
  <si>
    <t>Homebrewers wanting to deepen their practice through mindfulness</t>
  </si>
  <si>
    <t>Mindful Ingredient Selection: Water, Grain, Hops, and Yeast</t>
  </si>
  <si>
    <t>mindful ingredient selection brewing</t>
  </si>
  <si>
    <t>mindful brewing ingredients, organic brewing supplies, local malt hops, terroir in beer, sustainable brewing ingredients, intentional ingredient selection, craft beer ingredient origins, conscious ingredient sourcing, brewing ingredient mindfulness</t>
  </si>
  <si>
    <t>Conscious brewers seeking ethical and intentional ingredient sourcing</t>
  </si>
  <si>
    <t>The Sacred Pause: Brewing Rituals and Intention Setting</t>
  </si>
  <si>
    <t>brewing rituals and intentions</t>
  </si>
  <si>
    <t>brewing rituals, brewing ceremony, intention setting brewing, sacred brewing practice, spiritual homebrewing, brewing ritual guide, mindful brewing intention, ceremonial brewing, brewing intentions</t>
  </si>
  <si>
    <t>Spiritual practitioners creating meaningful brewing ceremonies</t>
  </si>
  <si>
    <t>Wild Fermentation and Letting Go: Lessons from Spontaneous Brewing</t>
  </si>
  <si>
    <t>wild fermentation mindfulness</t>
  </si>
  <si>
    <t>wild fermentation beer, spontaneous fermentation homebrewing, wild yeast brewing, lambic homebrewing, embracing uncertainty brewing, wild beer making, coolship brewing, spontaneous fermentation lessons, letting go brewing</t>
  </si>
  <si>
    <t>Advanced brewers exploring spontaneous fermentation and letting go</t>
  </si>
  <si>
    <t>Sustainable Brewing: Mindfulness Applied to Resource Use</t>
  </si>
  <si>
    <t>sustainable homebrewing</t>
  </si>
  <si>
    <t>sustainable homebrewing, eco-friendly brewing, zero-waste brewing, water conservation brewing, energy efficient homebrewing, sustainable brewing practices, green homebrewing, environmental brewing mindfulness, conscious resource brewing</t>
  </si>
  <si>
    <t>Eco-conscious brewers reducing environmental impact</t>
  </si>
  <si>
    <t>Troubleshooting with Presence: Learning from Brewing Mistakes</t>
  </si>
  <si>
    <t>troubleshooting brewing mindfully</t>
  </si>
  <si>
    <t>homebrew troubleshooting, fixing beer problems, off-flavors beer, learning from brewing mistakes, non-judgmental brewing, homebrew problem solving, beer defects guide, mindful brewing troubleshooting, accepting brewing failures</t>
  </si>
  <si>
    <t>Problem-solving brewers learning from mistakes mindfully</t>
  </si>
  <si>
    <t>Gluten-Free and Alternative Grain Brewing</t>
  </si>
  <si>
    <t>gluten-free brewing guide</t>
  </si>
  <si>
    <t>gluten-free homebrewing, gluten-free beer brewing, sorghum beer recipe, alternative grain brewing, celiac friendly brewing, millet beer brewing, gluten-free brewing guide, rice beer brewing, alternative grain beer</t>
  </si>
  <si>
    <t>Brewers creating inclusive gluten-free beers</t>
  </si>
  <si>
    <t>Beer and Civilization: Did Brewing Build Society?</t>
  </si>
  <si>
    <t>beer and civilization</t>
  </si>
  <si>
    <t>did beer build civilization, beer before bread, beer and agriculture, beer social cohesion, ancient beer society, beer cultivation history, neolithic beer, beer and settlement, beer building civilization</t>
  </si>
  <si>
    <t>Academic readers exploring beer's role in human development</t>
  </si>
  <si>
    <t>Sacred Ingredients: Ancient Grains, Herbs, and Spices in Modern Brewing</t>
  </si>
  <si>
    <t>ancient brewing ingredients</t>
  </si>
  <si>
    <t>ancient beer ingredients, emmer wheat beer, ancient grains brewing, historical beer herbs, pre-hop brewing, ancient beer spices, gruit beer recipe, historical brewing ingredients, ancient malt varieties</t>
  </si>
  <si>
    <t>Historical brewers and ingredient explorers seeking authentic ancient methods</t>
  </si>
  <si>
    <t>authority_id</t>
  </si>
  <si>
    <t>authority_name</t>
  </si>
  <si>
    <t>authority_url</t>
  </si>
  <si>
    <t>description</t>
  </si>
  <si>
    <t>use_cases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</si>
</sst>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0"/>
      <name val="Arial"/>
      <scheme val="minor"/>
    </font>
    <font>
      <b/>
      <sz val="11.0"/>
      <color rgb="FFFFFFFF"/>
      <name val="Arial"/>
      <scheme val="minor"/>
    </font>
    <font>
      <color theme="1"/>
      <name val="Arial"/>
      <scheme val="minor"/>
    </font>
    <font>
      <sz val="11.0"/>
      <color theme="1"/>
      <name val="Calibri"/>
    </font>
    <font>
      <color rgb="FF50575E"/>
      <name val="-apple-system"/>
    </font>
    <font>
      <b/>
      <color theme="0"/>
      <name val="Arial"/>
      <scheme val="minor"/>
    </font>
    <font>
      <b/>
      <color rgb="FFFFFFFF"/>
      <name val="Arial"/>
      <scheme val="minor"/>
    </font>
    <font>
      <u/>
      <color rgb="FF0000FF"/>
    </font>
  </fonts>
  <fills count="7">
    <fill>
      <patternFill patternType="none"/>
    </fill>
    <fill>
      <patternFill patternType="lightGray"/>
    </fill>
    <fill>
      <patternFill patternType="solid">
        <fgColor theme="4"/>
        <bgColor theme="4"/>
      </patternFill>
    </fill>
    <fill>
      <patternFill patternType="solid">
        <fgColor rgb="FFDDEBF7"/>
        <bgColor rgb="FFDDEBF7"/>
      </patternFill>
    </fill>
    <fill>
      <patternFill patternType="solid">
        <fgColor rgb="FFFFFFFF"/>
        <bgColor rgb="FFFFFFFF"/>
      </patternFill>
    </fill>
    <fill>
      <patternFill patternType="solid">
        <fgColor rgb="FFF6F7F7"/>
        <bgColor rgb="FFF6F7F7"/>
      </patternFill>
    </fill>
    <fill>
      <patternFill patternType="solid">
        <fgColor rgb="FFC9DAF8"/>
        <bgColor rgb="FFC9DAF8"/>
      </patternFill>
    </fill>
  </fills>
  <borders count="3">
    <border/>
    <border>
      <top style="thin">
        <color rgb="FF9BC2E6"/>
      </top>
      <bottom style="thin">
        <color rgb="FF9BC2E6"/>
      </bottom>
    </border>
    <border>
      <left style="thin">
        <color rgb="FF9BC2E6"/>
      </left>
      <top style="thin">
        <color rgb="FF9BC2E6"/>
      </top>
      <bottom style="thin">
        <color rgb="FF9BC2E6"/>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2" fontId="2" numFmtId="0" xfId="0" applyAlignment="1" applyFont="1">
      <alignment readingOrder="0"/>
    </xf>
    <xf borderId="0" fillId="2" fontId="1" numFmtId="0" xfId="0" applyFont="1"/>
    <xf borderId="0" fillId="0" fontId="3" numFmtId="0" xfId="0" applyAlignment="1" applyFont="1">
      <alignment readingOrder="0"/>
    </xf>
    <xf borderId="1" fillId="0" fontId="4" numFmtId="0" xfId="0" applyAlignment="1" applyBorder="1" applyFont="1">
      <alignment vertical="top"/>
    </xf>
    <xf borderId="1" fillId="0" fontId="4" numFmtId="0" xfId="0" applyAlignment="1" applyBorder="1" applyFont="1">
      <alignment shrinkToFit="0" vertical="top" wrapText="0"/>
    </xf>
    <xf borderId="0" fillId="0" fontId="3" numFmtId="0" xfId="0" applyAlignment="1" applyFont="1">
      <alignment readingOrder="0" shrinkToFit="0" wrapText="0"/>
    </xf>
    <xf borderId="0" fillId="0" fontId="3" numFmtId="0" xfId="0" applyFont="1"/>
    <xf borderId="1" fillId="3" fontId="4" numFmtId="0" xfId="0" applyAlignment="1" applyBorder="1" applyFill="1" applyFont="1">
      <alignment vertical="top"/>
    </xf>
    <xf borderId="1" fillId="3" fontId="4" numFmtId="0" xfId="0" applyAlignment="1" applyBorder="1" applyFont="1">
      <alignment shrinkToFit="0" vertical="top" wrapText="0"/>
    </xf>
    <xf borderId="0" fillId="4" fontId="5" numFmtId="0" xfId="0" applyAlignment="1" applyFill="1" applyFont="1">
      <alignment readingOrder="0"/>
    </xf>
    <xf borderId="0" fillId="5" fontId="5" numFmtId="0" xfId="0" applyAlignment="1" applyFill="1" applyFont="1">
      <alignment readingOrder="0"/>
    </xf>
    <xf borderId="0" fillId="0" fontId="3" numFmtId="0" xfId="0" applyAlignment="1" applyFont="1">
      <alignment shrinkToFit="0" wrapText="0"/>
    </xf>
    <xf borderId="0" fillId="2" fontId="6" numFmtId="0" xfId="0" applyAlignment="1" applyFont="1">
      <alignment readingOrder="0"/>
    </xf>
    <xf borderId="0" fillId="2" fontId="7" numFmtId="0" xfId="0" applyAlignment="1" applyFont="1">
      <alignment readingOrder="0"/>
    </xf>
    <xf borderId="0" fillId="2" fontId="6" numFmtId="0" xfId="0" applyAlignment="1" applyFont="1">
      <alignment readingOrder="0" shrinkToFit="0" wrapText="0"/>
    </xf>
    <xf borderId="0" fillId="2" fontId="6" numFmtId="0" xfId="0" applyFont="1"/>
    <xf borderId="0" fillId="6" fontId="3" numFmtId="0" xfId="0" applyFill="1" applyFont="1"/>
    <xf borderId="0" fillId="6" fontId="3" numFmtId="0" xfId="0" applyAlignment="1" applyFont="1">
      <alignment readingOrder="0"/>
    </xf>
    <xf borderId="2" fillId="6" fontId="4" numFmtId="0" xfId="0" applyAlignment="1" applyBorder="1" applyFont="1">
      <alignment vertical="top"/>
    </xf>
    <xf borderId="1" fillId="6" fontId="4" numFmtId="0" xfId="0" applyAlignment="1" applyBorder="1" applyFont="1">
      <alignment vertical="top"/>
    </xf>
    <xf borderId="1" fillId="6" fontId="4" numFmtId="0" xfId="0" applyAlignment="1" applyBorder="1" applyFont="1">
      <alignment shrinkToFit="0" vertical="top" wrapText="0"/>
    </xf>
    <xf borderId="0" fillId="6" fontId="8" numFmtId="0" xfId="0" applyAlignment="1" applyFont="1">
      <alignment readingOrder="0" shrinkToFit="0" wrapText="0"/>
    </xf>
    <xf borderId="0" fillId="6" fontId="3" numFmtId="0" xfId="0" applyAlignment="1" applyFont="1">
      <alignment readingOrder="0" shrinkToFit="0" wrapText="0"/>
    </xf>
    <xf borderId="2" fillId="0" fontId="4" numFmtId="0" xfId="0" applyAlignment="1" applyBorder="1" applyFont="1">
      <alignment vertical="top"/>
    </xf>
    <xf borderId="2" fillId="3"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nemindbrewing.com/wp-content/uploads/science-of-beer-food-pairing.png" TargetMode="External"/><Relationship Id="rId2" Type="http://schemas.openxmlformats.org/officeDocument/2006/relationships/hyperlink" Target="https://onemindbrewing.com/wp-content/uploads/ipa-food-pairing-guide.png" TargetMode="External"/><Relationship Id="rId3" Type="http://schemas.openxmlformats.org/officeDocument/2006/relationships/hyperlink" Target="https://onemindbrewing.com/wp-content/uploads/beer-and-cheese-pairing-guide.png" TargetMode="External"/><Relationship Id="rId4" Type="http://schemas.openxmlformats.org/officeDocument/2006/relationships/hyperlink" Target="https://onemindbrewing.com/wp-content/uploads/beer-meditation-guide-tasting-experience.png" TargetMode="External"/><Relationship Id="rId11" Type="http://schemas.openxmlformats.org/officeDocument/2006/relationships/hyperlink" Target="https://onemindbrewing.com/wp-content/uploads/how-to-build-mindful-beer-community.png" TargetMode="External"/><Relationship Id="rId10" Type="http://schemas.openxmlformats.org/officeDocument/2006/relationships/hyperlink" Target="https://onemindbrewing.com/wp-content/uploads/seasonal-beer-mindfulness-guide.png" TargetMode="External"/><Relationship Id="rId12" Type="http://schemas.openxmlformats.org/officeDocument/2006/relationships/drawing" Target="../drawings/drawing2.xml"/><Relationship Id="rId9" Type="http://schemas.openxmlformats.org/officeDocument/2006/relationships/hyperlink" Target="https://onemindbrewing.com/wp-content/uploads/non-alcoholic-craft-beer-guide.png" TargetMode="External"/><Relationship Id="rId5" Type="http://schemas.openxmlformats.org/officeDocument/2006/relationships/hyperlink" Target="https://onemindbrewing.com/wp-content/uploads/how-to-taste-beer-five-senses.png" TargetMode="External"/><Relationship Id="rId6" Type="http://schemas.openxmlformats.org/officeDocument/2006/relationships/hyperlink" Target="https://onemindbrewing.com/wp-content/uploads/mindful-drinking-vs-mindless-consumption.png" TargetMode="External"/><Relationship Id="rId7" Type="http://schemas.openxmlformats.org/officeDocument/2006/relationships/hyperlink" Target="https://onemindbrewing.com/wp-content/uploads/contemplative-brewery-visits-guide.png" TargetMode="External"/><Relationship Id="rId8" Type="http://schemas.openxmlformats.org/officeDocument/2006/relationships/hyperlink" Target="https://onemindbrewing.com/wp-content/uploads/buddhism-and-craft-beer-balance.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0.38"/>
    <col customWidth="1" min="4" max="4" width="26.0"/>
    <col customWidth="1" min="5" max="5" width="22.63"/>
    <col customWidth="1" min="6" max="6" width="28.0"/>
    <col customWidth="1" min="7" max="7" width="17.5"/>
    <col customWidth="1" min="8" max="8" width="15.0"/>
    <col customWidth="1" min="9" max="9" width="17.88"/>
    <col customWidth="1" min="11" max="11" width="54.38"/>
    <col customWidth="1" min="12" max="12" width="33.63"/>
    <col customWidth="1" min="13" max="13" width="19.63"/>
    <col customWidth="1" min="14" max="14" width="32.38"/>
    <col customWidth="1" min="15" max="15" width="15.5"/>
    <col customWidth="1" min="17" max="17" width="14.5"/>
    <col customWidth="1" min="18" max="18" width="17.75"/>
    <col customWidth="1" min="21" max="21" width="18.25"/>
    <col customWidth="1" min="22" max="22" width="27.0"/>
  </cols>
  <sheetData>
    <row r="1">
      <c r="A1" s="1" t="s">
        <v>0</v>
      </c>
      <c r="B1" s="1" t="s">
        <v>1</v>
      </c>
      <c r="C1" s="1" t="s">
        <v>2</v>
      </c>
      <c r="D1" s="1" t="s">
        <v>3</v>
      </c>
      <c r="E1" s="1" t="s">
        <v>4</v>
      </c>
      <c r="F1" s="2" t="s">
        <v>5</v>
      </c>
      <c r="G1" s="1" t="s">
        <v>6</v>
      </c>
      <c r="H1" s="2" t="s">
        <v>7</v>
      </c>
      <c r="I1" s="2" t="s">
        <v>8</v>
      </c>
      <c r="J1" s="1" t="s">
        <v>9</v>
      </c>
      <c r="K1" s="2" t="s">
        <v>10</v>
      </c>
      <c r="L1" s="2" t="s">
        <v>11</v>
      </c>
      <c r="M1" s="1" t="s">
        <v>12</v>
      </c>
      <c r="N1" s="1" t="s">
        <v>13</v>
      </c>
      <c r="O1" s="1" t="s">
        <v>14</v>
      </c>
      <c r="P1" s="1" t="s">
        <v>15</v>
      </c>
      <c r="Q1" s="1" t="s">
        <v>16</v>
      </c>
      <c r="R1" s="1" t="s">
        <v>17</v>
      </c>
      <c r="S1" s="1" t="s">
        <v>18</v>
      </c>
      <c r="T1" s="3" t="s">
        <v>19</v>
      </c>
      <c r="U1" s="3" t="s">
        <v>20</v>
      </c>
      <c r="V1" s="3" t="s">
        <v>21</v>
      </c>
      <c r="W1" s="3" t="s">
        <v>22</v>
      </c>
      <c r="X1" s="4"/>
      <c r="Y1" s="4"/>
      <c r="Z1" s="4"/>
    </row>
    <row r="2">
      <c r="A2" s="5">
        <v>1.0</v>
      </c>
      <c r="B2" s="5">
        <v>1.0</v>
      </c>
      <c r="C2" s="5" t="s">
        <v>23</v>
      </c>
      <c r="D2" s="5" t="s">
        <v>24</v>
      </c>
      <c r="E2" s="6" t="s">
        <v>25</v>
      </c>
      <c r="F2" s="7" t="s">
        <v>26</v>
      </c>
      <c r="G2" s="5">
        <v>4200.0</v>
      </c>
      <c r="H2" s="8" t="s">
        <v>27</v>
      </c>
      <c r="I2" s="8" t="s">
        <v>28</v>
      </c>
      <c r="J2" s="8" t="s">
        <v>29</v>
      </c>
      <c r="K2" s="8" t="str">
        <f t="shared" ref="K2:K5" si="1">CONCATENATE(C2, " | One Mind")</f>
        <v>The Complete Guide to Mindful Beer Appreciation | One Mind</v>
      </c>
      <c r="L2" s="8" t="s">
        <v>30</v>
      </c>
      <c r="M2" s="5" t="s">
        <v>25</v>
      </c>
      <c r="O2" s="5">
        <v>1.0</v>
      </c>
      <c r="P2" s="5" t="s">
        <v>31</v>
      </c>
      <c r="T2" s="5">
        <f>COUNTIF(Cluster_Posts!B:B, A2)</f>
        <v>8</v>
      </c>
      <c r="U2" s="9">
        <f>COUNTIFS(Cluster_Posts!B:B, A2, Cluster_Posts!P:P, "Published")</f>
        <v>8</v>
      </c>
      <c r="V2" s="9">
        <f t="shared" ref="V2:V112" si="2">IF(T2=0, 0, U2/T2)</f>
        <v>1</v>
      </c>
    </row>
    <row r="3">
      <c r="A3" s="5">
        <v>2.0</v>
      </c>
      <c r="B3" s="5">
        <v>2.0</v>
      </c>
      <c r="C3" s="5" t="s">
        <v>32</v>
      </c>
      <c r="D3" s="5" t="s">
        <v>33</v>
      </c>
      <c r="E3" s="10" t="s">
        <v>34</v>
      </c>
      <c r="F3" s="11" t="s">
        <v>35</v>
      </c>
      <c r="G3" s="5">
        <v>4500.0</v>
      </c>
      <c r="H3" s="8" t="s">
        <v>27</v>
      </c>
      <c r="I3" s="8" t="s">
        <v>28</v>
      </c>
      <c r="J3" s="8" t="s">
        <v>29</v>
      </c>
      <c r="K3" s="8" t="str">
        <f t="shared" si="1"/>
        <v>The Art of Mindful Beer and Food Pairing: A Comprehensive Guide | One Mind</v>
      </c>
      <c r="L3" s="8" t="s">
        <v>36</v>
      </c>
      <c r="M3" s="12" t="s">
        <v>34</v>
      </c>
      <c r="O3" s="5">
        <v>2.0</v>
      </c>
      <c r="P3" s="5" t="s">
        <v>31</v>
      </c>
      <c r="T3" s="5">
        <f>COUNTIF(Cluster_Posts!B:B, A3)</f>
        <v>8</v>
      </c>
      <c r="U3" s="9">
        <f>COUNTIFS(Cluster_Posts!B:B, A3, Cluster_Posts!P:P, "Published")</f>
        <v>3</v>
      </c>
      <c r="V3" s="9">
        <f t="shared" si="2"/>
        <v>0.375</v>
      </c>
    </row>
    <row r="4">
      <c r="A4" s="5">
        <v>3.0</v>
      </c>
      <c r="B4" s="5">
        <v>3.0</v>
      </c>
      <c r="C4" s="5" t="s">
        <v>37</v>
      </c>
      <c r="D4" s="5" t="s">
        <v>38</v>
      </c>
      <c r="E4" s="6" t="s">
        <v>39</v>
      </c>
      <c r="F4" s="7" t="s">
        <v>40</v>
      </c>
      <c r="G4" s="5">
        <v>3800.0</v>
      </c>
      <c r="H4" s="8" t="s">
        <v>27</v>
      </c>
      <c r="I4" s="8" t="s">
        <v>28</v>
      </c>
      <c r="J4" s="8" t="s">
        <v>29</v>
      </c>
      <c r="K4" s="8" t="str">
        <f t="shared" si="1"/>
        <v>Mindful Brewing: From Grain to Glass with Presence and Intention | One Mind</v>
      </c>
      <c r="L4" s="8" t="s">
        <v>41</v>
      </c>
      <c r="M4" s="13" t="s">
        <v>42</v>
      </c>
      <c r="O4" s="5">
        <v>3.0</v>
      </c>
      <c r="P4" s="5" t="s">
        <v>31</v>
      </c>
      <c r="T4" s="5">
        <f>COUNTIF(Cluster_Posts!B:B, A4)</f>
        <v>7</v>
      </c>
      <c r="U4" s="9">
        <f>COUNTIFS(Cluster_Posts!B:B, A4, Cluster_Posts!P:P, "Published")</f>
        <v>0</v>
      </c>
      <c r="V4" s="9">
        <f t="shared" si="2"/>
        <v>0</v>
      </c>
    </row>
    <row r="5">
      <c r="A5" s="5">
        <v>4.0</v>
      </c>
      <c r="B5" s="5">
        <v>4.0</v>
      </c>
      <c r="C5" s="5" t="s">
        <v>43</v>
      </c>
      <c r="D5" s="5" t="s">
        <v>44</v>
      </c>
      <c r="E5" s="10" t="s">
        <v>45</v>
      </c>
      <c r="F5" s="11" t="s">
        <v>46</v>
      </c>
      <c r="G5" s="5">
        <v>4300.0</v>
      </c>
      <c r="H5" s="8" t="s">
        <v>27</v>
      </c>
      <c r="I5" s="8" t="s">
        <v>28</v>
      </c>
      <c r="J5" s="8" t="s">
        <v>29</v>
      </c>
      <c r="K5" s="8" t="str">
        <f t="shared" si="1"/>
        <v>Beer Through the Ages: Ancient Wisdom for Modern Mindfulness | One Mind</v>
      </c>
      <c r="L5" s="8" t="s">
        <v>47</v>
      </c>
      <c r="M5" s="5" t="s">
        <v>45</v>
      </c>
      <c r="O5" s="5">
        <v>4.0</v>
      </c>
      <c r="P5" s="5" t="s">
        <v>31</v>
      </c>
      <c r="T5" s="5">
        <f>COUNTIF(Cluster_Posts!B:B, A5)</f>
        <v>6</v>
      </c>
      <c r="U5" s="9">
        <f>COUNTIFS(Cluster_Posts!B:B, A5, Cluster_Posts!P:P, "Published")</f>
        <v>0</v>
      </c>
      <c r="V5" s="9">
        <f t="shared" si="2"/>
        <v>0</v>
      </c>
    </row>
    <row r="6">
      <c r="F6" s="14"/>
      <c r="H6" s="14"/>
      <c r="I6" s="14"/>
      <c r="K6" s="14"/>
      <c r="L6" s="14"/>
      <c r="O6" s="9"/>
      <c r="P6" s="9"/>
      <c r="T6" s="5">
        <f>COUNTIF(Cluster_Posts!B:B, A6)</f>
        <v>0</v>
      </c>
      <c r="U6" s="9">
        <f>COUNTIFS(Cluster_Posts!B:B, A6, Cluster_Posts!P:P, "Published")</f>
        <v>0</v>
      </c>
      <c r="V6" s="9">
        <f t="shared" si="2"/>
        <v>0</v>
      </c>
    </row>
    <row r="7">
      <c r="F7" s="14"/>
      <c r="H7" s="14"/>
      <c r="I7" s="14"/>
      <c r="K7" s="14"/>
      <c r="L7" s="14"/>
      <c r="O7" s="9"/>
      <c r="P7" s="9"/>
      <c r="T7" s="5">
        <f>COUNTIF(Cluster_Posts!B:B, A7)</f>
        <v>0</v>
      </c>
      <c r="U7" s="9">
        <f>COUNTIFS(Cluster_Posts!B:B, A7, Cluster_Posts!P:P, "Published")</f>
        <v>0</v>
      </c>
      <c r="V7" s="9">
        <f t="shared" si="2"/>
        <v>0</v>
      </c>
    </row>
    <row r="8">
      <c r="F8" s="14"/>
      <c r="H8" s="14"/>
      <c r="I8" s="14"/>
      <c r="K8" s="14"/>
      <c r="L8" s="14"/>
      <c r="O8" s="9"/>
      <c r="P8" s="9"/>
      <c r="T8" s="5">
        <f>COUNTIF(Cluster_Posts!B:B, A8)</f>
        <v>0</v>
      </c>
      <c r="U8" s="9">
        <f>COUNTIFS(Cluster_Posts!B:B, A8, Cluster_Posts!P:P, "Published")</f>
        <v>0</v>
      </c>
      <c r="V8" s="9">
        <f t="shared" si="2"/>
        <v>0</v>
      </c>
    </row>
    <row r="9">
      <c r="F9" s="14"/>
      <c r="H9" s="14"/>
      <c r="I9" s="14"/>
      <c r="K9" s="14"/>
      <c r="L9" s="14"/>
      <c r="O9" s="9"/>
      <c r="P9" s="9"/>
      <c r="T9" s="5">
        <f>COUNTIF(Cluster_Posts!B:B, A9)</f>
        <v>0</v>
      </c>
      <c r="U9" s="9">
        <f>COUNTIFS(Cluster_Posts!B:B, A9, Cluster_Posts!P:P, "Published")</f>
        <v>0</v>
      </c>
      <c r="V9" s="9">
        <f t="shared" si="2"/>
        <v>0</v>
      </c>
    </row>
    <row r="10">
      <c r="F10" s="14"/>
      <c r="H10" s="14"/>
      <c r="I10" s="14"/>
      <c r="K10" s="14"/>
      <c r="L10" s="14"/>
      <c r="O10" s="9"/>
      <c r="P10" s="9"/>
      <c r="T10" s="5">
        <f>COUNTIF(Cluster_Posts!B:B, A10)</f>
        <v>0</v>
      </c>
      <c r="U10" s="9">
        <f>COUNTIFS(Cluster_Posts!B:B, A10, Cluster_Posts!P:P, "Published")</f>
        <v>0</v>
      </c>
      <c r="V10" s="9">
        <f t="shared" si="2"/>
        <v>0</v>
      </c>
    </row>
    <row r="11">
      <c r="F11" s="14"/>
      <c r="H11" s="14"/>
      <c r="I11" s="14"/>
      <c r="K11" s="14"/>
      <c r="L11" s="14"/>
      <c r="O11" s="9"/>
      <c r="P11" s="9"/>
      <c r="T11" s="5">
        <f>COUNTIF(Cluster_Posts!B:B, A11)</f>
        <v>0</v>
      </c>
      <c r="U11" s="9">
        <f>COUNTIFS(Cluster_Posts!B:B, A11, Cluster_Posts!P:P, "Published")</f>
        <v>0</v>
      </c>
      <c r="V11" s="9">
        <f t="shared" si="2"/>
        <v>0</v>
      </c>
    </row>
    <row r="12">
      <c r="F12" s="14"/>
      <c r="H12" s="14"/>
      <c r="I12" s="14"/>
      <c r="K12" s="14"/>
      <c r="L12" s="14"/>
      <c r="O12" s="9"/>
      <c r="P12" s="9"/>
      <c r="T12" s="5">
        <f>COUNTIF(Cluster_Posts!B:B, A12)</f>
        <v>0</v>
      </c>
      <c r="U12" s="9">
        <f>COUNTIFS(Cluster_Posts!B:B, A12, Cluster_Posts!P:P, "Published")</f>
        <v>0</v>
      </c>
      <c r="V12" s="9">
        <f t="shared" si="2"/>
        <v>0</v>
      </c>
    </row>
    <row r="13">
      <c r="F13" s="14"/>
      <c r="H13" s="14"/>
      <c r="I13" s="14"/>
      <c r="K13" s="14"/>
      <c r="L13" s="14"/>
      <c r="O13" s="9"/>
      <c r="P13" s="9"/>
      <c r="T13" s="5">
        <f>COUNTIF(Cluster_Posts!B:B, A13)</f>
        <v>0</v>
      </c>
      <c r="U13" s="9">
        <f>COUNTIFS(Cluster_Posts!B:B, A13, Cluster_Posts!P:P, "Published")</f>
        <v>0</v>
      </c>
      <c r="V13" s="9">
        <f t="shared" si="2"/>
        <v>0</v>
      </c>
    </row>
    <row r="14">
      <c r="F14" s="14"/>
      <c r="H14" s="14"/>
      <c r="I14" s="14"/>
      <c r="K14" s="14"/>
      <c r="L14" s="14"/>
      <c r="O14" s="9"/>
      <c r="P14" s="9"/>
      <c r="T14" s="5">
        <f>COUNTIF(Cluster_Posts!B:B, A14)</f>
        <v>0</v>
      </c>
      <c r="U14" s="9">
        <f>COUNTIFS(Cluster_Posts!B:B, A14, Cluster_Posts!P:P, "Published")</f>
        <v>0</v>
      </c>
      <c r="V14" s="9">
        <f t="shared" si="2"/>
        <v>0</v>
      </c>
    </row>
    <row r="15">
      <c r="F15" s="14"/>
      <c r="H15" s="14"/>
      <c r="I15" s="14"/>
      <c r="K15" s="14"/>
      <c r="L15" s="14"/>
      <c r="O15" s="9"/>
      <c r="P15" s="9"/>
      <c r="T15" s="5">
        <f>COUNTIF(Cluster_Posts!B:B, A15)</f>
        <v>0</v>
      </c>
      <c r="U15" s="9">
        <f>COUNTIFS(Cluster_Posts!B:B, A15, Cluster_Posts!P:P, "Published")</f>
        <v>0</v>
      </c>
      <c r="V15" s="9">
        <f t="shared" si="2"/>
        <v>0</v>
      </c>
    </row>
    <row r="16">
      <c r="F16" s="14"/>
      <c r="H16" s="14"/>
      <c r="I16" s="14"/>
      <c r="K16" s="14"/>
      <c r="L16" s="14"/>
      <c r="O16" s="9"/>
      <c r="P16" s="9"/>
      <c r="T16" s="5">
        <f>COUNTIF(Cluster_Posts!B:B, A16)</f>
        <v>0</v>
      </c>
      <c r="U16" s="9">
        <f>COUNTIFS(Cluster_Posts!B:B, A16, Cluster_Posts!P:P, "Published")</f>
        <v>0</v>
      </c>
      <c r="V16" s="9">
        <f t="shared" si="2"/>
        <v>0</v>
      </c>
    </row>
    <row r="17">
      <c r="F17" s="14"/>
      <c r="H17" s="14"/>
      <c r="I17" s="14"/>
      <c r="K17" s="14"/>
      <c r="L17" s="14"/>
      <c r="O17" s="9"/>
      <c r="P17" s="9"/>
      <c r="T17" s="5">
        <f>COUNTIF(Cluster_Posts!B:B, A17)</f>
        <v>0</v>
      </c>
      <c r="U17" s="9">
        <f>COUNTIFS(Cluster_Posts!B:B, A17, Cluster_Posts!P:P, "Published")</f>
        <v>0</v>
      </c>
      <c r="V17" s="9">
        <f t="shared" si="2"/>
        <v>0</v>
      </c>
    </row>
    <row r="18">
      <c r="F18" s="14"/>
      <c r="H18" s="14"/>
      <c r="I18" s="14"/>
      <c r="K18" s="14"/>
      <c r="L18" s="14"/>
      <c r="O18" s="9"/>
      <c r="P18" s="9"/>
      <c r="T18" s="5">
        <f>COUNTIF(Cluster_Posts!B:B, A18)</f>
        <v>0</v>
      </c>
      <c r="U18" s="9">
        <f>COUNTIFS(Cluster_Posts!B:B, A18, Cluster_Posts!P:P, "Published")</f>
        <v>0</v>
      </c>
      <c r="V18" s="9">
        <f t="shared" si="2"/>
        <v>0</v>
      </c>
    </row>
    <row r="19">
      <c r="F19" s="14"/>
      <c r="H19" s="14"/>
      <c r="I19" s="14"/>
      <c r="K19" s="14"/>
      <c r="L19" s="14"/>
      <c r="O19" s="9"/>
      <c r="P19" s="9"/>
      <c r="T19" s="5">
        <f>COUNTIF(Cluster_Posts!B:B, A19)</f>
        <v>0</v>
      </c>
      <c r="U19" s="9">
        <f>COUNTIFS(Cluster_Posts!B:B, A19, Cluster_Posts!P:P, "Published")</f>
        <v>0</v>
      </c>
      <c r="V19" s="9">
        <f t="shared" si="2"/>
        <v>0</v>
      </c>
    </row>
    <row r="20">
      <c r="F20" s="14"/>
      <c r="H20" s="14"/>
      <c r="I20" s="14"/>
      <c r="K20" s="14"/>
      <c r="L20" s="14"/>
      <c r="O20" s="9"/>
      <c r="P20" s="9"/>
      <c r="T20" s="5">
        <f>COUNTIF(Cluster_Posts!B:B, A20)</f>
        <v>0</v>
      </c>
      <c r="U20" s="9">
        <f>COUNTIFS(Cluster_Posts!B:B, A20, Cluster_Posts!P:P, "Published")</f>
        <v>0</v>
      </c>
      <c r="V20" s="9">
        <f t="shared" si="2"/>
        <v>0</v>
      </c>
    </row>
    <row r="21">
      <c r="F21" s="14"/>
      <c r="H21" s="14"/>
      <c r="I21" s="14"/>
      <c r="K21" s="14"/>
      <c r="L21" s="14"/>
      <c r="O21" s="9"/>
      <c r="P21" s="9"/>
      <c r="T21" s="5">
        <f>COUNTIF(Cluster_Posts!B:B, A21)</f>
        <v>0</v>
      </c>
      <c r="U21" s="9">
        <f>COUNTIFS(Cluster_Posts!B:B, A21, Cluster_Posts!P:P, "Published")</f>
        <v>0</v>
      </c>
      <c r="V21" s="9">
        <f t="shared" si="2"/>
        <v>0</v>
      </c>
    </row>
    <row r="22">
      <c r="F22" s="14"/>
      <c r="H22" s="14"/>
      <c r="I22" s="14"/>
      <c r="K22" s="14"/>
      <c r="L22" s="14"/>
      <c r="O22" s="9"/>
      <c r="P22" s="9"/>
      <c r="T22" s="5">
        <f>COUNTIF(Cluster_Posts!B:B, A22)</f>
        <v>0</v>
      </c>
      <c r="U22" s="9">
        <f>COUNTIFS(Cluster_Posts!B:B, A22, Cluster_Posts!P:P, "Published")</f>
        <v>0</v>
      </c>
      <c r="V22" s="9">
        <f t="shared" si="2"/>
        <v>0</v>
      </c>
    </row>
    <row r="23">
      <c r="F23" s="14"/>
      <c r="H23" s="14"/>
      <c r="I23" s="14"/>
      <c r="K23" s="14"/>
      <c r="L23" s="14"/>
      <c r="O23" s="9"/>
      <c r="P23" s="9"/>
      <c r="T23" s="5">
        <f>COUNTIF(Cluster_Posts!B:B, A23)</f>
        <v>0</v>
      </c>
      <c r="U23" s="9">
        <f>COUNTIFS(Cluster_Posts!B:B, A23, Cluster_Posts!P:P, "Published")</f>
        <v>0</v>
      </c>
      <c r="V23" s="9">
        <f t="shared" si="2"/>
        <v>0</v>
      </c>
    </row>
    <row r="24">
      <c r="F24" s="14"/>
      <c r="H24" s="14"/>
      <c r="I24" s="14"/>
      <c r="K24" s="14"/>
      <c r="L24" s="14"/>
      <c r="O24" s="9"/>
      <c r="P24" s="9"/>
      <c r="T24" s="5">
        <f>COUNTIF(Cluster_Posts!B:B, A24)</f>
        <v>0</v>
      </c>
      <c r="U24" s="9">
        <f>COUNTIFS(Cluster_Posts!B:B, A24, Cluster_Posts!P:P, "Published")</f>
        <v>0</v>
      </c>
      <c r="V24" s="9">
        <f t="shared" si="2"/>
        <v>0</v>
      </c>
    </row>
    <row r="25">
      <c r="F25" s="14"/>
      <c r="H25" s="14"/>
      <c r="I25" s="14"/>
      <c r="K25" s="14"/>
      <c r="L25" s="14"/>
      <c r="O25" s="9"/>
      <c r="P25" s="9"/>
      <c r="T25" s="5">
        <f>COUNTIF(Cluster_Posts!B:B, A25)</f>
        <v>0</v>
      </c>
      <c r="U25" s="9">
        <f>COUNTIFS(Cluster_Posts!B:B, A25, Cluster_Posts!P:P, "Published")</f>
        <v>0</v>
      </c>
      <c r="V25" s="9">
        <f t="shared" si="2"/>
        <v>0</v>
      </c>
    </row>
    <row r="26">
      <c r="F26" s="14"/>
      <c r="H26" s="14"/>
      <c r="I26" s="14"/>
      <c r="K26" s="14"/>
      <c r="L26" s="14"/>
      <c r="O26" s="9"/>
      <c r="P26" s="9"/>
      <c r="T26" s="5">
        <f>COUNTIF(Cluster_Posts!B:B, A26)</f>
        <v>0</v>
      </c>
      <c r="U26" s="9">
        <f>COUNTIFS(Cluster_Posts!B:B, A26, Cluster_Posts!P:P, "Published")</f>
        <v>0</v>
      </c>
      <c r="V26" s="9">
        <f t="shared" si="2"/>
        <v>0</v>
      </c>
    </row>
    <row r="27">
      <c r="F27" s="14"/>
      <c r="H27" s="14"/>
      <c r="I27" s="14"/>
      <c r="K27" s="14"/>
      <c r="L27" s="14"/>
      <c r="O27" s="9"/>
      <c r="P27" s="9"/>
      <c r="T27" s="5">
        <f>COUNTIF(Cluster_Posts!B:B, A27)</f>
        <v>0</v>
      </c>
      <c r="U27" s="9">
        <f>COUNTIFS(Cluster_Posts!B:B, A27, Cluster_Posts!P:P, "Published")</f>
        <v>0</v>
      </c>
      <c r="V27" s="9">
        <f t="shared" si="2"/>
        <v>0</v>
      </c>
    </row>
    <row r="28">
      <c r="F28" s="14"/>
      <c r="H28" s="14"/>
      <c r="I28" s="14"/>
      <c r="K28" s="14"/>
      <c r="L28" s="14"/>
      <c r="O28" s="9"/>
      <c r="P28" s="9"/>
      <c r="T28" s="5">
        <f>COUNTIF(Cluster_Posts!B:B, A28)</f>
        <v>0</v>
      </c>
      <c r="U28" s="9">
        <f>COUNTIFS(Cluster_Posts!B:B, A28, Cluster_Posts!P:P, "Published")</f>
        <v>0</v>
      </c>
      <c r="V28" s="9">
        <f t="shared" si="2"/>
        <v>0</v>
      </c>
    </row>
    <row r="29">
      <c r="F29" s="14"/>
      <c r="H29" s="14"/>
      <c r="I29" s="14"/>
      <c r="K29" s="14"/>
      <c r="L29" s="14"/>
      <c r="O29" s="9"/>
      <c r="P29" s="9"/>
      <c r="T29" s="5">
        <f>COUNTIF(Cluster_Posts!B:B, A29)</f>
        <v>0</v>
      </c>
      <c r="U29" s="9">
        <f>COUNTIFS(Cluster_Posts!B:B, A29, Cluster_Posts!P:P, "Published")</f>
        <v>0</v>
      </c>
      <c r="V29" s="9">
        <f t="shared" si="2"/>
        <v>0</v>
      </c>
    </row>
    <row r="30">
      <c r="F30" s="14"/>
      <c r="H30" s="14"/>
      <c r="I30" s="14"/>
      <c r="K30" s="14"/>
      <c r="L30" s="14"/>
      <c r="O30" s="9"/>
      <c r="P30" s="9"/>
      <c r="T30" s="5">
        <f>COUNTIF(Cluster_Posts!B:B, A30)</f>
        <v>0</v>
      </c>
      <c r="U30" s="9">
        <f>COUNTIFS(Cluster_Posts!B:B, A30, Cluster_Posts!P:P, "Published")</f>
        <v>0</v>
      </c>
      <c r="V30" s="9">
        <f t="shared" si="2"/>
        <v>0</v>
      </c>
    </row>
    <row r="31">
      <c r="F31" s="14"/>
      <c r="H31" s="14"/>
      <c r="I31" s="14"/>
      <c r="K31" s="14"/>
      <c r="L31" s="14"/>
      <c r="O31" s="9"/>
      <c r="P31" s="9"/>
      <c r="T31" s="5">
        <f>COUNTIF(Cluster_Posts!B:B, A31)</f>
        <v>0</v>
      </c>
      <c r="U31" s="9">
        <f>COUNTIFS(Cluster_Posts!B:B, A31, Cluster_Posts!P:P, "Published")</f>
        <v>0</v>
      </c>
      <c r="V31" s="9">
        <f t="shared" si="2"/>
        <v>0</v>
      </c>
    </row>
    <row r="32">
      <c r="F32" s="14"/>
      <c r="H32" s="14"/>
      <c r="I32" s="14"/>
      <c r="K32" s="14"/>
      <c r="L32" s="14"/>
      <c r="O32" s="9"/>
      <c r="P32" s="9"/>
      <c r="T32" s="5">
        <f>COUNTIF(Cluster_Posts!B:B, A32)</f>
        <v>0</v>
      </c>
      <c r="U32" s="9">
        <f>COUNTIFS(Cluster_Posts!B:B, A32, Cluster_Posts!P:P, "Published")</f>
        <v>0</v>
      </c>
      <c r="V32" s="9">
        <f t="shared" si="2"/>
        <v>0</v>
      </c>
    </row>
    <row r="33">
      <c r="F33" s="14"/>
      <c r="H33" s="14"/>
      <c r="I33" s="14"/>
      <c r="K33" s="14"/>
      <c r="L33" s="14"/>
      <c r="O33" s="9"/>
      <c r="P33" s="9"/>
      <c r="T33" s="5">
        <f>COUNTIF(Cluster_Posts!B:B, A33)</f>
        <v>0</v>
      </c>
      <c r="U33" s="9">
        <f>COUNTIFS(Cluster_Posts!B:B, A33, Cluster_Posts!P:P, "Published")</f>
        <v>0</v>
      </c>
      <c r="V33" s="9">
        <f t="shared" si="2"/>
        <v>0</v>
      </c>
    </row>
    <row r="34">
      <c r="F34" s="14"/>
      <c r="H34" s="14"/>
      <c r="I34" s="14"/>
      <c r="K34" s="14"/>
      <c r="L34" s="14"/>
      <c r="O34" s="9"/>
      <c r="P34" s="9"/>
      <c r="T34" s="5">
        <f>COUNTIF(Cluster_Posts!B:B, A34)</f>
        <v>0</v>
      </c>
      <c r="U34" s="9">
        <f>COUNTIFS(Cluster_Posts!B:B, A34, Cluster_Posts!P:P, "Published")</f>
        <v>0</v>
      </c>
      <c r="V34" s="9">
        <f t="shared" si="2"/>
        <v>0</v>
      </c>
    </row>
    <row r="35">
      <c r="F35" s="14"/>
      <c r="H35" s="14"/>
      <c r="I35" s="14"/>
      <c r="K35" s="14"/>
      <c r="L35" s="14"/>
      <c r="O35" s="9"/>
      <c r="P35" s="9"/>
      <c r="T35" s="5">
        <f>COUNTIF(Cluster_Posts!B:B, A35)</f>
        <v>0</v>
      </c>
      <c r="U35" s="9">
        <f>COUNTIFS(Cluster_Posts!B:B, A35, Cluster_Posts!P:P, "Published")</f>
        <v>0</v>
      </c>
      <c r="V35" s="9">
        <f t="shared" si="2"/>
        <v>0</v>
      </c>
    </row>
    <row r="36">
      <c r="F36" s="14"/>
      <c r="H36" s="14"/>
      <c r="I36" s="14"/>
      <c r="K36" s="14"/>
      <c r="L36" s="14"/>
      <c r="O36" s="9"/>
      <c r="P36" s="9"/>
      <c r="T36" s="5">
        <f>COUNTIF(Cluster_Posts!B:B, A36)</f>
        <v>0</v>
      </c>
      <c r="U36" s="9">
        <f>COUNTIFS(Cluster_Posts!B:B, A36, Cluster_Posts!P:P, "Published")</f>
        <v>0</v>
      </c>
      <c r="V36" s="9">
        <f t="shared" si="2"/>
        <v>0</v>
      </c>
    </row>
    <row r="37">
      <c r="F37" s="14"/>
      <c r="H37" s="14"/>
      <c r="I37" s="14"/>
      <c r="K37" s="14"/>
      <c r="L37" s="14"/>
      <c r="O37" s="9"/>
      <c r="P37" s="9"/>
      <c r="T37" s="5">
        <f>COUNTIF(Cluster_Posts!B:B, A37)</f>
        <v>0</v>
      </c>
      <c r="U37" s="9">
        <f>COUNTIFS(Cluster_Posts!B:B, A37, Cluster_Posts!P:P, "Published")</f>
        <v>0</v>
      </c>
      <c r="V37" s="9">
        <f t="shared" si="2"/>
        <v>0</v>
      </c>
    </row>
    <row r="38">
      <c r="F38" s="14"/>
      <c r="H38" s="14"/>
      <c r="I38" s="14"/>
      <c r="K38" s="14"/>
      <c r="L38" s="14"/>
      <c r="O38" s="9"/>
      <c r="P38" s="9"/>
      <c r="T38" s="5">
        <f>COUNTIF(Cluster_Posts!B:B, A38)</f>
        <v>0</v>
      </c>
      <c r="U38" s="9">
        <f>COUNTIFS(Cluster_Posts!B:B, A38, Cluster_Posts!P:P, "Published")</f>
        <v>0</v>
      </c>
      <c r="V38" s="9">
        <f t="shared" si="2"/>
        <v>0</v>
      </c>
    </row>
    <row r="39">
      <c r="F39" s="14"/>
      <c r="H39" s="14"/>
      <c r="I39" s="14"/>
      <c r="K39" s="14"/>
      <c r="L39" s="14"/>
      <c r="O39" s="9"/>
      <c r="P39" s="9"/>
      <c r="T39" s="5">
        <f>COUNTIF(Cluster_Posts!B:B, A39)</f>
        <v>0</v>
      </c>
      <c r="U39" s="9">
        <f>COUNTIFS(Cluster_Posts!B:B, A39, Cluster_Posts!P:P, "Published")</f>
        <v>0</v>
      </c>
      <c r="V39" s="9">
        <f t="shared" si="2"/>
        <v>0</v>
      </c>
    </row>
    <row r="40">
      <c r="F40" s="14"/>
      <c r="H40" s="14"/>
      <c r="I40" s="14"/>
      <c r="K40" s="14"/>
      <c r="L40" s="14"/>
      <c r="O40" s="9"/>
      <c r="P40" s="9"/>
      <c r="T40" s="5">
        <f>COUNTIF(Cluster_Posts!B:B, A40)</f>
        <v>0</v>
      </c>
      <c r="U40" s="9">
        <f>COUNTIFS(Cluster_Posts!B:B, A40, Cluster_Posts!P:P, "Published")</f>
        <v>0</v>
      </c>
      <c r="V40" s="9">
        <f t="shared" si="2"/>
        <v>0</v>
      </c>
    </row>
    <row r="41">
      <c r="F41" s="14"/>
      <c r="H41" s="14"/>
      <c r="I41" s="14"/>
      <c r="K41" s="14"/>
      <c r="L41" s="14"/>
      <c r="O41" s="9"/>
      <c r="P41" s="9"/>
      <c r="T41" s="5">
        <f>COUNTIF(Cluster_Posts!B:B, A41)</f>
        <v>0</v>
      </c>
      <c r="U41" s="9">
        <f>COUNTIFS(Cluster_Posts!B:B, A41, Cluster_Posts!P:P, "Published")</f>
        <v>0</v>
      </c>
      <c r="V41" s="9">
        <f t="shared" si="2"/>
        <v>0</v>
      </c>
    </row>
    <row r="42">
      <c r="F42" s="14"/>
      <c r="H42" s="14"/>
      <c r="I42" s="14"/>
      <c r="K42" s="14"/>
      <c r="L42" s="14"/>
      <c r="O42" s="9"/>
      <c r="P42" s="9"/>
      <c r="T42" s="5">
        <f>COUNTIF(Cluster_Posts!B:B, A42)</f>
        <v>0</v>
      </c>
      <c r="U42" s="9">
        <f>COUNTIFS(Cluster_Posts!B:B, A42, Cluster_Posts!P:P, "Published")</f>
        <v>0</v>
      </c>
      <c r="V42" s="9">
        <f t="shared" si="2"/>
        <v>0</v>
      </c>
    </row>
    <row r="43">
      <c r="F43" s="14"/>
      <c r="H43" s="14"/>
      <c r="I43" s="14"/>
      <c r="K43" s="14"/>
      <c r="L43" s="14"/>
      <c r="O43" s="9"/>
      <c r="P43" s="9"/>
      <c r="T43" s="5">
        <f>COUNTIF(Cluster_Posts!B:B, A43)</f>
        <v>0</v>
      </c>
      <c r="U43" s="9">
        <f>COUNTIFS(Cluster_Posts!B:B, A43, Cluster_Posts!P:P, "Published")</f>
        <v>0</v>
      </c>
      <c r="V43" s="9">
        <f t="shared" si="2"/>
        <v>0</v>
      </c>
    </row>
    <row r="44">
      <c r="F44" s="14"/>
      <c r="H44" s="14"/>
      <c r="I44" s="14"/>
      <c r="K44" s="14"/>
      <c r="L44" s="14"/>
      <c r="O44" s="9"/>
      <c r="P44" s="9"/>
      <c r="T44" s="5">
        <f>COUNTIF(Cluster_Posts!B:B, A44)</f>
        <v>0</v>
      </c>
      <c r="U44" s="9">
        <f>COUNTIFS(Cluster_Posts!B:B, A44, Cluster_Posts!P:P, "Published")</f>
        <v>0</v>
      </c>
      <c r="V44" s="9">
        <f t="shared" si="2"/>
        <v>0</v>
      </c>
    </row>
    <row r="45">
      <c r="F45" s="14"/>
      <c r="H45" s="14"/>
      <c r="I45" s="14"/>
      <c r="K45" s="14"/>
      <c r="L45" s="14"/>
      <c r="O45" s="9"/>
      <c r="P45" s="9"/>
      <c r="T45" s="5">
        <f>COUNTIF(Cluster_Posts!B:B, A45)</f>
        <v>0</v>
      </c>
      <c r="U45" s="9">
        <f>COUNTIFS(Cluster_Posts!B:B, A45, Cluster_Posts!P:P, "Published")</f>
        <v>0</v>
      </c>
      <c r="V45" s="9">
        <f t="shared" si="2"/>
        <v>0</v>
      </c>
    </row>
    <row r="46">
      <c r="F46" s="14"/>
      <c r="H46" s="14"/>
      <c r="I46" s="14"/>
      <c r="K46" s="14"/>
      <c r="L46" s="14"/>
      <c r="O46" s="9"/>
      <c r="P46" s="9"/>
      <c r="T46" s="5">
        <f>COUNTIF(Cluster_Posts!B:B, A46)</f>
        <v>0</v>
      </c>
      <c r="U46" s="9">
        <f>COUNTIFS(Cluster_Posts!B:B, A46, Cluster_Posts!P:P, "Published")</f>
        <v>0</v>
      </c>
      <c r="V46" s="9">
        <f t="shared" si="2"/>
        <v>0</v>
      </c>
    </row>
    <row r="47">
      <c r="F47" s="14"/>
      <c r="H47" s="14"/>
      <c r="I47" s="14"/>
      <c r="K47" s="14"/>
      <c r="L47" s="14"/>
      <c r="O47" s="9"/>
      <c r="P47" s="9"/>
      <c r="T47" s="5">
        <f>COUNTIF(Cluster_Posts!B:B, A47)</f>
        <v>0</v>
      </c>
      <c r="U47" s="9">
        <f>COUNTIFS(Cluster_Posts!B:B, A47, Cluster_Posts!P:P, "Published")</f>
        <v>0</v>
      </c>
      <c r="V47" s="9">
        <f t="shared" si="2"/>
        <v>0</v>
      </c>
    </row>
    <row r="48">
      <c r="F48" s="14"/>
      <c r="H48" s="14"/>
      <c r="I48" s="14"/>
      <c r="K48" s="14"/>
      <c r="L48" s="14"/>
      <c r="O48" s="9"/>
      <c r="P48" s="9"/>
      <c r="T48" s="5">
        <f>COUNTIF(Cluster_Posts!B:B, A48)</f>
        <v>0</v>
      </c>
      <c r="U48" s="9">
        <f>COUNTIFS(Cluster_Posts!B:B, A48, Cluster_Posts!P:P, "Published")</f>
        <v>0</v>
      </c>
      <c r="V48" s="9">
        <f t="shared" si="2"/>
        <v>0</v>
      </c>
    </row>
    <row r="49">
      <c r="F49" s="14"/>
      <c r="H49" s="14"/>
      <c r="I49" s="14"/>
      <c r="K49" s="14"/>
      <c r="L49" s="14"/>
      <c r="O49" s="9"/>
      <c r="P49" s="9"/>
      <c r="T49" s="5">
        <f>COUNTIF(Cluster_Posts!B:B, A49)</f>
        <v>0</v>
      </c>
      <c r="U49" s="9">
        <f>COUNTIFS(Cluster_Posts!B:B, A49, Cluster_Posts!P:P, "Published")</f>
        <v>0</v>
      </c>
      <c r="V49" s="9">
        <f t="shared" si="2"/>
        <v>0</v>
      </c>
    </row>
    <row r="50">
      <c r="F50" s="14"/>
      <c r="H50" s="14"/>
      <c r="I50" s="14"/>
      <c r="K50" s="14"/>
      <c r="L50" s="14"/>
      <c r="O50" s="9"/>
      <c r="P50" s="9"/>
      <c r="T50" s="5">
        <f>COUNTIF(Cluster_Posts!B:B, A50)</f>
        <v>0</v>
      </c>
      <c r="U50" s="9">
        <f>COUNTIFS(Cluster_Posts!B:B, A50, Cluster_Posts!P:P, "Published")</f>
        <v>0</v>
      </c>
      <c r="V50" s="9">
        <f t="shared" si="2"/>
        <v>0</v>
      </c>
    </row>
    <row r="51">
      <c r="F51" s="14"/>
      <c r="H51" s="14"/>
      <c r="I51" s="14"/>
      <c r="K51" s="14"/>
      <c r="L51" s="14"/>
      <c r="O51" s="9"/>
      <c r="P51" s="9"/>
      <c r="T51" s="5">
        <f>COUNTIF(Cluster_Posts!B:B, A51)</f>
        <v>0</v>
      </c>
      <c r="U51" s="9">
        <f>COUNTIFS(Cluster_Posts!B:B, A51, Cluster_Posts!P:P, "Published")</f>
        <v>0</v>
      </c>
      <c r="V51" s="9">
        <f t="shared" si="2"/>
        <v>0</v>
      </c>
    </row>
    <row r="52">
      <c r="F52" s="14"/>
      <c r="H52" s="14"/>
      <c r="I52" s="14"/>
      <c r="K52" s="14"/>
      <c r="L52" s="14"/>
      <c r="O52" s="9"/>
      <c r="P52" s="9"/>
      <c r="T52" s="5">
        <f>COUNTIF(Cluster_Posts!B:B, A52)</f>
        <v>0</v>
      </c>
      <c r="U52" s="9">
        <f>COUNTIFS(Cluster_Posts!B:B, A52, Cluster_Posts!P:P, "Published")</f>
        <v>0</v>
      </c>
      <c r="V52" s="9">
        <f t="shared" si="2"/>
        <v>0</v>
      </c>
    </row>
    <row r="53">
      <c r="F53" s="14"/>
      <c r="H53" s="14"/>
      <c r="I53" s="14"/>
      <c r="K53" s="14"/>
      <c r="L53" s="14"/>
      <c r="O53" s="9"/>
      <c r="P53" s="9"/>
      <c r="T53" s="5">
        <f>COUNTIF(Cluster_Posts!B:B, A53)</f>
        <v>0</v>
      </c>
      <c r="U53" s="9">
        <f>COUNTIFS(Cluster_Posts!B:B, A53, Cluster_Posts!P:P, "Published")</f>
        <v>0</v>
      </c>
      <c r="V53" s="9">
        <f t="shared" si="2"/>
        <v>0</v>
      </c>
    </row>
    <row r="54">
      <c r="F54" s="14"/>
      <c r="H54" s="14"/>
      <c r="I54" s="14"/>
      <c r="K54" s="14"/>
      <c r="L54" s="14"/>
      <c r="O54" s="9"/>
      <c r="P54" s="9"/>
      <c r="T54" s="5">
        <f>COUNTIF(Cluster_Posts!B:B, A54)</f>
        <v>0</v>
      </c>
      <c r="U54" s="9">
        <f>COUNTIFS(Cluster_Posts!B:B, A54, Cluster_Posts!P:P, "Published")</f>
        <v>0</v>
      </c>
      <c r="V54" s="9">
        <f t="shared" si="2"/>
        <v>0</v>
      </c>
    </row>
    <row r="55">
      <c r="F55" s="14"/>
      <c r="H55" s="14"/>
      <c r="I55" s="14"/>
      <c r="K55" s="14"/>
      <c r="L55" s="14"/>
      <c r="O55" s="9"/>
      <c r="P55" s="9"/>
      <c r="T55" s="5">
        <f>COUNTIF(Cluster_Posts!B:B, A55)</f>
        <v>0</v>
      </c>
      <c r="U55" s="9">
        <f>COUNTIFS(Cluster_Posts!B:B, A55, Cluster_Posts!P:P, "Published")</f>
        <v>0</v>
      </c>
      <c r="V55" s="9">
        <f t="shared" si="2"/>
        <v>0</v>
      </c>
    </row>
    <row r="56">
      <c r="F56" s="14"/>
      <c r="H56" s="14"/>
      <c r="I56" s="14"/>
      <c r="K56" s="14"/>
      <c r="L56" s="14"/>
      <c r="O56" s="9"/>
      <c r="P56" s="9"/>
      <c r="T56" s="5">
        <f>COUNTIF(Cluster_Posts!B:B, A56)</f>
        <v>0</v>
      </c>
      <c r="U56" s="9">
        <f>COUNTIFS(Cluster_Posts!B:B, A56, Cluster_Posts!P:P, "Published")</f>
        <v>0</v>
      </c>
      <c r="V56" s="9">
        <f t="shared" si="2"/>
        <v>0</v>
      </c>
    </row>
    <row r="57">
      <c r="F57" s="14"/>
      <c r="H57" s="14"/>
      <c r="I57" s="14"/>
      <c r="K57" s="14"/>
      <c r="L57" s="14"/>
      <c r="O57" s="9"/>
      <c r="P57" s="9"/>
      <c r="T57" s="5">
        <f>COUNTIF(Cluster_Posts!B:B, A57)</f>
        <v>0</v>
      </c>
      <c r="U57" s="9">
        <f>COUNTIFS(Cluster_Posts!B:B, A57, Cluster_Posts!P:P, "Published")</f>
        <v>0</v>
      </c>
      <c r="V57" s="9">
        <f t="shared" si="2"/>
        <v>0</v>
      </c>
    </row>
    <row r="58">
      <c r="F58" s="14"/>
      <c r="H58" s="14"/>
      <c r="I58" s="14"/>
      <c r="K58" s="14"/>
      <c r="L58" s="14"/>
      <c r="O58" s="9"/>
      <c r="P58" s="9"/>
      <c r="T58" s="5">
        <f>COUNTIF(Cluster_Posts!B:B, A58)</f>
        <v>0</v>
      </c>
      <c r="U58" s="9">
        <f>COUNTIFS(Cluster_Posts!B:B, A58, Cluster_Posts!P:P, "Published")</f>
        <v>0</v>
      </c>
      <c r="V58" s="9">
        <f t="shared" si="2"/>
        <v>0</v>
      </c>
    </row>
    <row r="59">
      <c r="F59" s="14"/>
      <c r="H59" s="14"/>
      <c r="I59" s="14"/>
      <c r="K59" s="14"/>
      <c r="L59" s="14"/>
      <c r="O59" s="9"/>
      <c r="P59" s="9"/>
      <c r="T59" s="5">
        <f>COUNTIF(Cluster_Posts!B:B, A59)</f>
        <v>0</v>
      </c>
      <c r="U59" s="9">
        <f>COUNTIFS(Cluster_Posts!B:B, A59, Cluster_Posts!P:P, "Published")</f>
        <v>0</v>
      </c>
      <c r="V59" s="9">
        <f t="shared" si="2"/>
        <v>0</v>
      </c>
    </row>
    <row r="60">
      <c r="F60" s="14"/>
      <c r="H60" s="14"/>
      <c r="I60" s="14"/>
      <c r="K60" s="14"/>
      <c r="L60" s="14"/>
      <c r="O60" s="9"/>
      <c r="P60" s="9"/>
      <c r="T60" s="5">
        <f>COUNTIF(Cluster_Posts!B:B, A60)</f>
        <v>0</v>
      </c>
      <c r="U60" s="9">
        <f>COUNTIFS(Cluster_Posts!B:B, A60, Cluster_Posts!P:P, "Published")</f>
        <v>0</v>
      </c>
      <c r="V60" s="9">
        <f t="shared" si="2"/>
        <v>0</v>
      </c>
    </row>
    <row r="61">
      <c r="F61" s="14"/>
      <c r="H61" s="14"/>
      <c r="I61" s="14"/>
      <c r="K61" s="14"/>
      <c r="L61" s="14"/>
      <c r="O61" s="9"/>
      <c r="P61" s="9"/>
      <c r="T61" s="5">
        <f>COUNTIF(Cluster_Posts!B:B, A61)</f>
        <v>0</v>
      </c>
      <c r="U61" s="9">
        <f>COUNTIFS(Cluster_Posts!B:B, A61, Cluster_Posts!P:P, "Published")</f>
        <v>0</v>
      </c>
      <c r="V61" s="9">
        <f t="shared" si="2"/>
        <v>0</v>
      </c>
    </row>
    <row r="62">
      <c r="F62" s="14"/>
      <c r="H62" s="14"/>
      <c r="I62" s="14"/>
      <c r="K62" s="14"/>
      <c r="L62" s="14"/>
      <c r="O62" s="9"/>
      <c r="P62" s="9"/>
      <c r="T62" s="5">
        <f>COUNTIF(Cluster_Posts!B:B, A62)</f>
        <v>0</v>
      </c>
      <c r="U62" s="9">
        <f>COUNTIFS(Cluster_Posts!B:B, A62, Cluster_Posts!P:P, "Published")</f>
        <v>0</v>
      </c>
      <c r="V62" s="9">
        <f t="shared" si="2"/>
        <v>0</v>
      </c>
    </row>
    <row r="63">
      <c r="F63" s="14"/>
      <c r="H63" s="14"/>
      <c r="I63" s="14"/>
      <c r="K63" s="14"/>
      <c r="L63" s="14"/>
      <c r="O63" s="9"/>
      <c r="P63" s="9"/>
      <c r="T63" s="5">
        <f>COUNTIF(Cluster_Posts!B:B, A63)</f>
        <v>0</v>
      </c>
      <c r="U63" s="9">
        <f>COUNTIFS(Cluster_Posts!B:B, A63, Cluster_Posts!P:P, "Published")</f>
        <v>0</v>
      </c>
      <c r="V63" s="9">
        <f t="shared" si="2"/>
        <v>0</v>
      </c>
    </row>
    <row r="64">
      <c r="F64" s="14"/>
      <c r="H64" s="14"/>
      <c r="I64" s="14"/>
      <c r="K64" s="14"/>
      <c r="L64" s="14"/>
      <c r="O64" s="9"/>
      <c r="P64" s="9"/>
      <c r="T64" s="5">
        <f>COUNTIF(Cluster_Posts!B:B, A64)</f>
        <v>0</v>
      </c>
      <c r="U64" s="9">
        <f>COUNTIFS(Cluster_Posts!B:B, A64, Cluster_Posts!P:P, "Published")</f>
        <v>0</v>
      </c>
      <c r="V64" s="9">
        <f t="shared" si="2"/>
        <v>0</v>
      </c>
    </row>
    <row r="65">
      <c r="F65" s="14"/>
      <c r="H65" s="14"/>
      <c r="I65" s="14"/>
      <c r="K65" s="14"/>
      <c r="L65" s="14"/>
      <c r="O65" s="9"/>
      <c r="P65" s="9"/>
      <c r="T65" s="5">
        <f>COUNTIF(Cluster_Posts!B:B, A65)</f>
        <v>0</v>
      </c>
      <c r="U65" s="9">
        <f>COUNTIFS(Cluster_Posts!B:B, A65, Cluster_Posts!P:P, "Published")</f>
        <v>0</v>
      </c>
      <c r="V65" s="9">
        <f t="shared" si="2"/>
        <v>0</v>
      </c>
    </row>
    <row r="66">
      <c r="F66" s="14"/>
      <c r="H66" s="14"/>
      <c r="I66" s="14"/>
      <c r="K66" s="14"/>
      <c r="L66" s="14"/>
      <c r="O66" s="9"/>
      <c r="P66" s="9"/>
      <c r="T66" s="5">
        <f>COUNTIF(Cluster_Posts!B:B, A66)</f>
        <v>0</v>
      </c>
      <c r="U66" s="9">
        <f>COUNTIFS(Cluster_Posts!B:B, A66, Cluster_Posts!P:P, "Published")</f>
        <v>0</v>
      </c>
      <c r="V66" s="9">
        <f t="shared" si="2"/>
        <v>0</v>
      </c>
    </row>
    <row r="67">
      <c r="F67" s="14"/>
      <c r="H67" s="14"/>
      <c r="I67" s="14"/>
      <c r="K67" s="14"/>
      <c r="L67" s="14"/>
      <c r="O67" s="9"/>
      <c r="P67" s="9"/>
      <c r="T67" s="5">
        <f>COUNTIF(Cluster_Posts!B:B, A67)</f>
        <v>0</v>
      </c>
      <c r="U67" s="9">
        <f>COUNTIFS(Cluster_Posts!B:B, A67, Cluster_Posts!P:P, "Published")</f>
        <v>0</v>
      </c>
      <c r="V67" s="9">
        <f t="shared" si="2"/>
        <v>0</v>
      </c>
    </row>
    <row r="68">
      <c r="F68" s="14"/>
      <c r="H68" s="14"/>
      <c r="I68" s="14"/>
      <c r="K68" s="14"/>
      <c r="L68" s="14"/>
      <c r="O68" s="9"/>
      <c r="P68" s="9"/>
      <c r="T68" s="5">
        <f>COUNTIF(Cluster_Posts!B:B, A68)</f>
        <v>0</v>
      </c>
      <c r="U68" s="9">
        <f>COUNTIFS(Cluster_Posts!B:B, A68, Cluster_Posts!P:P, "Published")</f>
        <v>0</v>
      </c>
      <c r="V68" s="9">
        <f t="shared" si="2"/>
        <v>0</v>
      </c>
    </row>
    <row r="69">
      <c r="F69" s="14"/>
      <c r="H69" s="14"/>
      <c r="I69" s="14"/>
      <c r="K69" s="14"/>
      <c r="L69" s="14"/>
      <c r="O69" s="9"/>
      <c r="P69" s="9"/>
      <c r="T69" s="5">
        <f>COUNTIF(Cluster_Posts!B:B, A69)</f>
        <v>0</v>
      </c>
      <c r="U69" s="9">
        <f>COUNTIFS(Cluster_Posts!B:B, A69, Cluster_Posts!P:P, "Published")</f>
        <v>0</v>
      </c>
      <c r="V69" s="9">
        <f t="shared" si="2"/>
        <v>0</v>
      </c>
    </row>
    <row r="70">
      <c r="F70" s="14"/>
      <c r="H70" s="14"/>
      <c r="I70" s="14"/>
      <c r="K70" s="14"/>
      <c r="L70" s="14"/>
      <c r="O70" s="9"/>
      <c r="P70" s="9"/>
      <c r="T70" s="5">
        <f>COUNTIF(Cluster_Posts!B:B, A70)</f>
        <v>0</v>
      </c>
      <c r="U70" s="9">
        <f>COUNTIFS(Cluster_Posts!B:B, A70, Cluster_Posts!P:P, "Published")</f>
        <v>0</v>
      </c>
      <c r="V70" s="9">
        <f t="shared" si="2"/>
        <v>0</v>
      </c>
    </row>
    <row r="71">
      <c r="F71" s="14"/>
      <c r="H71" s="14"/>
      <c r="I71" s="14"/>
      <c r="K71" s="14"/>
      <c r="L71" s="14"/>
      <c r="O71" s="9"/>
      <c r="P71" s="9"/>
      <c r="T71" s="5">
        <f>COUNTIF(Cluster_Posts!B:B, A71)</f>
        <v>0</v>
      </c>
      <c r="U71" s="9">
        <f>COUNTIFS(Cluster_Posts!B:B, A71, Cluster_Posts!P:P, "Published")</f>
        <v>0</v>
      </c>
      <c r="V71" s="9">
        <f t="shared" si="2"/>
        <v>0</v>
      </c>
    </row>
    <row r="72">
      <c r="F72" s="14"/>
      <c r="H72" s="14"/>
      <c r="I72" s="14"/>
      <c r="K72" s="14"/>
      <c r="L72" s="14"/>
      <c r="O72" s="9"/>
      <c r="P72" s="9"/>
      <c r="T72" s="5">
        <f>COUNTIF(Cluster_Posts!B:B, A72)</f>
        <v>0</v>
      </c>
      <c r="U72" s="9">
        <f>COUNTIFS(Cluster_Posts!B:B, A72, Cluster_Posts!P:P, "Published")</f>
        <v>0</v>
      </c>
      <c r="V72" s="9">
        <f t="shared" si="2"/>
        <v>0</v>
      </c>
    </row>
    <row r="73">
      <c r="F73" s="14"/>
      <c r="H73" s="14"/>
      <c r="I73" s="14"/>
      <c r="K73" s="14"/>
      <c r="L73" s="14"/>
      <c r="O73" s="9"/>
      <c r="P73" s="9"/>
      <c r="T73" s="5">
        <f>COUNTIF(Cluster_Posts!B:B, A73)</f>
        <v>0</v>
      </c>
      <c r="U73" s="9">
        <f>COUNTIFS(Cluster_Posts!B:B, A73, Cluster_Posts!P:P, "Published")</f>
        <v>0</v>
      </c>
      <c r="V73" s="9">
        <f t="shared" si="2"/>
        <v>0</v>
      </c>
    </row>
    <row r="74">
      <c r="F74" s="14"/>
      <c r="H74" s="14"/>
      <c r="I74" s="14"/>
      <c r="K74" s="14"/>
      <c r="L74" s="14"/>
      <c r="O74" s="9"/>
      <c r="P74" s="9"/>
      <c r="T74" s="5">
        <f>COUNTIF(Cluster_Posts!B:B, A74)</f>
        <v>0</v>
      </c>
      <c r="U74" s="9">
        <f>COUNTIFS(Cluster_Posts!B:B, A74, Cluster_Posts!P:P, "Published")</f>
        <v>0</v>
      </c>
      <c r="V74" s="9">
        <f t="shared" si="2"/>
        <v>0</v>
      </c>
    </row>
    <row r="75">
      <c r="F75" s="14"/>
      <c r="H75" s="14"/>
      <c r="I75" s="14"/>
      <c r="K75" s="14"/>
      <c r="L75" s="14"/>
      <c r="O75" s="9"/>
      <c r="P75" s="9"/>
      <c r="T75" s="5">
        <f>COUNTIF(Cluster_Posts!B:B, A75)</f>
        <v>0</v>
      </c>
      <c r="U75" s="9">
        <f>COUNTIFS(Cluster_Posts!B:B, A75, Cluster_Posts!P:P, "Published")</f>
        <v>0</v>
      </c>
      <c r="V75" s="9">
        <f t="shared" si="2"/>
        <v>0</v>
      </c>
    </row>
    <row r="76">
      <c r="F76" s="14"/>
      <c r="H76" s="14"/>
      <c r="I76" s="14"/>
      <c r="K76" s="14"/>
      <c r="L76" s="14"/>
      <c r="O76" s="9"/>
      <c r="P76" s="9"/>
      <c r="T76" s="5">
        <f>COUNTIF(Cluster_Posts!B:B, A76)</f>
        <v>0</v>
      </c>
      <c r="U76" s="9">
        <f>COUNTIFS(Cluster_Posts!B:B, A76, Cluster_Posts!P:P, "Published")</f>
        <v>0</v>
      </c>
      <c r="V76" s="9">
        <f t="shared" si="2"/>
        <v>0</v>
      </c>
    </row>
    <row r="77">
      <c r="F77" s="14"/>
      <c r="H77" s="14"/>
      <c r="I77" s="14"/>
      <c r="K77" s="14"/>
      <c r="L77" s="14"/>
      <c r="O77" s="9"/>
      <c r="P77" s="9"/>
      <c r="T77" s="5">
        <f>COUNTIF(Cluster_Posts!B:B, A77)</f>
        <v>0</v>
      </c>
      <c r="U77" s="9">
        <f>COUNTIFS(Cluster_Posts!B:B, A77, Cluster_Posts!P:P, "Published")</f>
        <v>0</v>
      </c>
      <c r="V77" s="9">
        <f t="shared" si="2"/>
        <v>0</v>
      </c>
    </row>
    <row r="78">
      <c r="F78" s="14"/>
      <c r="H78" s="14"/>
      <c r="I78" s="14"/>
      <c r="K78" s="14"/>
      <c r="L78" s="14"/>
      <c r="O78" s="9"/>
      <c r="P78" s="9"/>
      <c r="T78" s="5">
        <f>COUNTIF(Cluster_Posts!B:B, A78)</f>
        <v>0</v>
      </c>
      <c r="U78" s="9">
        <f>COUNTIFS(Cluster_Posts!B:B, A78, Cluster_Posts!P:P, "Published")</f>
        <v>0</v>
      </c>
      <c r="V78" s="9">
        <f t="shared" si="2"/>
        <v>0</v>
      </c>
    </row>
    <row r="79">
      <c r="F79" s="14"/>
      <c r="H79" s="14"/>
      <c r="I79" s="14"/>
      <c r="K79" s="14"/>
      <c r="L79" s="14"/>
      <c r="O79" s="9"/>
      <c r="P79" s="9"/>
      <c r="T79" s="5">
        <f>COUNTIF(Cluster_Posts!B:B, A79)</f>
        <v>0</v>
      </c>
      <c r="U79" s="9">
        <f>COUNTIFS(Cluster_Posts!B:B, A79, Cluster_Posts!P:P, "Published")</f>
        <v>0</v>
      </c>
      <c r="V79" s="9">
        <f t="shared" si="2"/>
        <v>0</v>
      </c>
    </row>
    <row r="80">
      <c r="F80" s="14"/>
      <c r="H80" s="14"/>
      <c r="I80" s="14"/>
      <c r="K80" s="14"/>
      <c r="L80" s="14"/>
      <c r="O80" s="9"/>
      <c r="P80" s="9"/>
      <c r="T80" s="5">
        <f>COUNTIF(Cluster_Posts!B:B, A80)</f>
        <v>0</v>
      </c>
      <c r="U80" s="9">
        <f>COUNTIFS(Cluster_Posts!B:B, A80, Cluster_Posts!P:P, "Published")</f>
        <v>0</v>
      </c>
      <c r="V80" s="9">
        <f t="shared" si="2"/>
        <v>0</v>
      </c>
    </row>
    <row r="81">
      <c r="F81" s="14"/>
      <c r="H81" s="14"/>
      <c r="I81" s="14"/>
      <c r="K81" s="14"/>
      <c r="L81" s="14"/>
      <c r="O81" s="9"/>
      <c r="P81" s="9"/>
      <c r="T81" s="5">
        <f>COUNTIF(Cluster_Posts!B:B, A81)</f>
        <v>0</v>
      </c>
      <c r="U81" s="9">
        <f>COUNTIFS(Cluster_Posts!B:B, A81, Cluster_Posts!P:P, "Published")</f>
        <v>0</v>
      </c>
      <c r="V81" s="9">
        <f t="shared" si="2"/>
        <v>0</v>
      </c>
    </row>
    <row r="82">
      <c r="F82" s="14"/>
      <c r="H82" s="14"/>
      <c r="I82" s="14"/>
      <c r="K82" s="14"/>
      <c r="L82" s="14"/>
      <c r="O82" s="9"/>
      <c r="P82" s="9"/>
      <c r="T82" s="5">
        <f>COUNTIF(Cluster_Posts!B:B, A82)</f>
        <v>0</v>
      </c>
      <c r="U82" s="9">
        <f>COUNTIFS(Cluster_Posts!B:B, A82, Cluster_Posts!P:P, "Published")</f>
        <v>0</v>
      </c>
      <c r="V82" s="9">
        <f t="shared" si="2"/>
        <v>0</v>
      </c>
    </row>
    <row r="83">
      <c r="F83" s="14"/>
      <c r="H83" s="14"/>
      <c r="I83" s="14"/>
      <c r="K83" s="14"/>
      <c r="L83" s="14"/>
      <c r="O83" s="9"/>
      <c r="P83" s="9"/>
      <c r="T83" s="5">
        <f>COUNTIF(Cluster_Posts!B:B, A83)</f>
        <v>0</v>
      </c>
      <c r="U83" s="9">
        <f>COUNTIFS(Cluster_Posts!B:B, A83, Cluster_Posts!P:P, "Published")</f>
        <v>0</v>
      </c>
      <c r="V83" s="9">
        <f t="shared" si="2"/>
        <v>0</v>
      </c>
    </row>
    <row r="84">
      <c r="F84" s="14"/>
      <c r="H84" s="14"/>
      <c r="I84" s="14"/>
      <c r="K84" s="14"/>
      <c r="L84" s="14"/>
      <c r="O84" s="9"/>
      <c r="P84" s="9"/>
      <c r="T84" s="5">
        <f>COUNTIF(Cluster_Posts!B:B, A84)</f>
        <v>0</v>
      </c>
      <c r="U84" s="9">
        <f>COUNTIFS(Cluster_Posts!B:B, A84, Cluster_Posts!P:P, "Published")</f>
        <v>0</v>
      </c>
      <c r="V84" s="9">
        <f t="shared" si="2"/>
        <v>0</v>
      </c>
    </row>
    <row r="85">
      <c r="F85" s="14"/>
      <c r="H85" s="14"/>
      <c r="I85" s="14"/>
      <c r="K85" s="14"/>
      <c r="L85" s="14"/>
      <c r="O85" s="9"/>
      <c r="P85" s="9"/>
      <c r="T85" s="5">
        <f>COUNTIF(Cluster_Posts!B:B, A85)</f>
        <v>0</v>
      </c>
      <c r="U85" s="9">
        <f>COUNTIFS(Cluster_Posts!B:B, A85, Cluster_Posts!P:P, "Published")</f>
        <v>0</v>
      </c>
      <c r="V85" s="9">
        <f t="shared" si="2"/>
        <v>0</v>
      </c>
    </row>
    <row r="86">
      <c r="F86" s="14"/>
      <c r="H86" s="14"/>
      <c r="I86" s="14"/>
      <c r="K86" s="14"/>
      <c r="L86" s="14"/>
      <c r="O86" s="9"/>
      <c r="P86" s="9"/>
      <c r="T86" s="5">
        <f>COUNTIF(Cluster_Posts!B:B, A86)</f>
        <v>0</v>
      </c>
      <c r="U86" s="9">
        <f>COUNTIFS(Cluster_Posts!B:B, A86, Cluster_Posts!P:P, "Published")</f>
        <v>0</v>
      </c>
      <c r="V86" s="9">
        <f t="shared" si="2"/>
        <v>0</v>
      </c>
    </row>
    <row r="87">
      <c r="F87" s="14"/>
      <c r="H87" s="14"/>
      <c r="I87" s="14"/>
      <c r="K87" s="14"/>
      <c r="L87" s="14"/>
      <c r="O87" s="9"/>
      <c r="P87" s="9"/>
      <c r="T87" s="5">
        <f>COUNTIF(Cluster_Posts!B:B, A87)</f>
        <v>0</v>
      </c>
      <c r="U87" s="9">
        <f>COUNTIFS(Cluster_Posts!B:B, A87, Cluster_Posts!P:P, "Published")</f>
        <v>0</v>
      </c>
      <c r="V87" s="9">
        <f t="shared" si="2"/>
        <v>0</v>
      </c>
    </row>
    <row r="88">
      <c r="F88" s="14"/>
      <c r="H88" s="14"/>
      <c r="I88" s="14"/>
      <c r="K88" s="14"/>
      <c r="L88" s="14"/>
      <c r="O88" s="9"/>
      <c r="P88" s="9"/>
      <c r="T88" s="5">
        <f>COUNTIF(Cluster_Posts!B:B, A88)</f>
        <v>0</v>
      </c>
      <c r="U88" s="9">
        <f>COUNTIFS(Cluster_Posts!B:B, A88, Cluster_Posts!P:P, "Published")</f>
        <v>0</v>
      </c>
      <c r="V88" s="9">
        <f t="shared" si="2"/>
        <v>0</v>
      </c>
    </row>
    <row r="89">
      <c r="F89" s="14"/>
      <c r="H89" s="14"/>
      <c r="I89" s="14"/>
      <c r="K89" s="14"/>
      <c r="L89" s="14"/>
      <c r="O89" s="9"/>
      <c r="P89" s="9"/>
      <c r="T89" s="5">
        <f>COUNTIF(Cluster_Posts!B:B, A89)</f>
        <v>0</v>
      </c>
      <c r="U89" s="9">
        <f>COUNTIFS(Cluster_Posts!B:B, A89, Cluster_Posts!P:P, "Published")</f>
        <v>0</v>
      </c>
      <c r="V89" s="9">
        <f t="shared" si="2"/>
        <v>0</v>
      </c>
    </row>
    <row r="90">
      <c r="F90" s="14"/>
      <c r="H90" s="14"/>
      <c r="I90" s="14"/>
      <c r="K90" s="14"/>
      <c r="L90" s="14"/>
      <c r="O90" s="9"/>
      <c r="P90" s="9"/>
      <c r="T90" s="5">
        <f>COUNTIF(Cluster_Posts!B:B, A90)</f>
        <v>0</v>
      </c>
      <c r="U90" s="9">
        <f>COUNTIFS(Cluster_Posts!B:B, A90, Cluster_Posts!P:P, "Published")</f>
        <v>0</v>
      </c>
      <c r="V90" s="9">
        <f t="shared" si="2"/>
        <v>0</v>
      </c>
    </row>
    <row r="91">
      <c r="F91" s="14"/>
      <c r="H91" s="14"/>
      <c r="I91" s="14"/>
      <c r="K91" s="14"/>
      <c r="L91" s="14"/>
      <c r="O91" s="9"/>
      <c r="P91" s="9"/>
      <c r="T91" s="5">
        <f>COUNTIF(Cluster_Posts!B:B, A91)</f>
        <v>0</v>
      </c>
      <c r="U91" s="9">
        <f>COUNTIFS(Cluster_Posts!B:B, A91, Cluster_Posts!P:P, "Published")</f>
        <v>0</v>
      </c>
      <c r="V91" s="9">
        <f t="shared" si="2"/>
        <v>0</v>
      </c>
    </row>
    <row r="92">
      <c r="F92" s="14"/>
      <c r="H92" s="14"/>
      <c r="I92" s="14"/>
      <c r="K92" s="14"/>
      <c r="L92" s="14"/>
      <c r="O92" s="9"/>
      <c r="P92" s="9"/>
      <c r="T92" s="5">
        <f>COUNTIF(Cluster_Posts!B:B, A92)</f>
        <v>0</v>
      </c>
      <c r="U92" s="9">
        <f>COUNTIFS(Cluster_Posts!B:B, A92, Cluster_Posts!P:P, "Published")</f>
        <v>0</v>
      </c>
      <c r="V92" s="9">
        <f t="shared" si="2"/>
        <v>0</v>
      </c>
    </row>
    <row r="93">
      <c r="F93" s="14"/>
      <c r="H93" s="14"/>
      <c r="I93" s="14"/>
      <c r="K93" s="14"/>
      <c r="L93" s="14"/>
      <c r="O93" s="9"/>
      <c r="P93" s="9"/>
      <c r="T93" s="5">
        <f>COUNTIF(Cluster_Posts!B:B, A93)</f>
        <v>0</v>
      </c>
      <c r="U93" s="9">
        <f>COUNTIFS(Cluster_Posts!B:B, A93, Cluster_Posts!P:P, "Published")</f>
        <v>0</v>
      </c>
      <c r="V93" s="9">
        <f t="shared" si="2"/>
        <v>0</v>
      </c>
    </row>
    <row r="94">
      <c r="F94" s="14"/>
      <c r="H94" s="14"/>
      <c r="I94" s="14"/>
      <c r="K94" s="14"/>
      <c r="L94" s="14"/>
      <c r="O94" s="9"/>
      <c r="P94" s="9"/>
      <c r="T94" s="5">
        <f>COUNTIF(Cluster_Posts!B:B, A94)</f>
        <v>0</v>
      </c>
      <c r="U94" s="9">
        <f>COUNTIFS(Cluster_Posts!B:B, A94, Cluster_Posts!P:P, "Published")</f>
        <v>0</v>
      </c>
      <c r="V94" s="9">
        <f t="shared" si="2"/>
        <v>0</v>
      </c>
    </row>
    <row r="95">
      <c r="F95" s="14"/>
      <c r="H95" s="14"/>
      <c r="I95" s="14"/>
      <c r="K95" s="14"/>
      <c r="L95" s="14"/>
      <c r="O95" s="9"/>
      <c r="P95" s="9"/>
      <c r="T95" s="5">
        <f>COUNTIF(Cluster_Posts!B:B, A95)</f>
        <v>0</v>
      </c>
      <c r="U95" s="9">
        <f>COUNTIFS(Cluster_Posts!B:B, A95, Cluster_Posts!P:P, "Published")</f>
        <v>0</v>
      </c>
      <c r="V95" s="9">
        <f t="shared" si="2"/>
        <v>0</v>
      </c>
    </row>
    <row r="96">
      <c r="F96" s="14"/>
      <c r="H96" s="14"/>
      <c r="I96" s="14"/>
      <c r="K96" s="14"/>
      <c r="L96" s="14"/>
      <c r="O96" s="9"/>
      <c r="P96" s="9"/>
      <c r="T96" s="5">
        <f>COUNTIF(Cluster_Posts!B:B, A96)</f>
        <v>0</v>
      </c>
      <c r="U96" s="9">
        <f>COUNTIFS(Cluster_Posts!B:B, A96, Cluster_Posts!P:P, "Published")</f>
        <v>0</v>
      </c>
      <c r="V96" s="9">
        <f t="shared" si="2"/>
        <v>0</v>
      </c>
    </row>
    <row r="97">
      <c r="F97" s="14"/>
      <c r="H97" s="14"/>
      <c r="I97" s="14"/>
      <c r="K97" s="14"/>
      <c r="L97" s="14"/>
      <c r="O97" s="9"/>
      <c r="P97" s="9"/>
      <c r="T97" s="5">
        <f>COUNTIF(Cluster_Posts!B:B, A97)</f>
        <v>0</v>
      </c>
      <c r="U97" s="9">
        <f>COUNTIFS(Cluster_Posts!B:B, A97, Cluster_Posts!P:P, "Published")</f>
        <v>0</v>
      </c>
      <c r="V97" s="9">
        <f t="shared" si="2"/>
        <v>0</v>
      </c>
    </row>
    <row r="98">
      <c r="F98" s="14"/>
      <c r="H98" s="14"/>
      <c r="I98" s="14"/>
      <c r="K98" s="14"/>
      <c r="L98" s="14"/>
      <c r="O98" s="9"/>
      <c r="P98" s="9"/>
      <c r="T98" s="5">
        <f>COUNTIF(Cluster_Posts!B:B, A98)</f>
        <v>0</v>
      </c>
      <c r="U98" s="9">
        <f>COUNTIFS(Cluster_Posts!B:B, A98, Cluster_Posts!P:P, "Published")</f>
        <v>0</v>
      </c>
      <c r="V98" s="9">
        <f t="shared" si="2"/>
        <v>0</v>
      </c>
    </row>
    <row r="99">
      <c r="F99" s="14"/>
      <c r="H99" s="14"/>
      <c r="I99" s="14"/>
      <c r="K99" s="14"/>
      <c r="L99" s="14"/>
      <c r="O99" s="9"/>
      <c r="P99" s="9"/>
      <c r="T99" s="5">
        <f>COUNTIF(Cluster_Posts!B:B, A99)</f>
        <v>0</v>
      </c>
      <c r="U99" s="9">
        <f>COUNTIFS(Cluster_Posts!B:B, A99, Cluster_Posts!P:P, "Published")</f>
        <v>0</v>
      </c>
      <c r="V99" s="9">
        <f t="shared" si="2"/>
        <v>0</v>
      </c>
    </row>
    <row r="100">
      <c r="F100" s="14"/>
      <c r="H100" s="14"/>
      <c r="I100" s="14"/>
      <c r="K100" s="14"/>
      <c r="L100" s="14"/>
      <c r="O100" s="9"/>
      <c r="P100" s="9"/>
      <c r="T100" s="5">
        <f>COUNTIF(Cluster_Posts!B:B, A100)</f>
        <v>0</v>
      </c>
      <c r="U100" s="9">
        <f>COUNTIFS(Cluster_Posts!B:B, A100, Cluster_Posts!P:P, "Published")</f>
        <v>0</v>
      </c>
      <c r="V100" s="9">
        <f t="shared" si="2"/>
        <v>0</v>
      </c>
    </row>
    <row r="101">
      <c r="F101" s="14"/>
      <c r="H101" s="14"/>
      <c r="I101" s="14"/>
      <c r="K101" s="14"/>
      <c r="L101" s="14"/>
      <c r="O101" s="9"/>
      <c r="P101" s="9"/>
      <c r="T101" s="5">
        <f>COUNTIF(Cluster_Posts!B:B, A101)</f>
        <v>0</v>
      </c>
      <c r="U101" s="9">
        <f>COUNTIFS(Cluster_Posts!B:B, A101, Cluster_Posts!P:P, "Published")</f>
        <v>0</v>
      </c>
      <c r="V101" s="9">
        <f t="shared" si="2"/>
        <v>0</v>
      </c>
    </row>
    <row r="102">
      <c r="F102" s="14"/>
      <c r="H102" s="14"/>
      <c r="I102" s="14"/>
      <c r="K102" s="14"/>
      <c r="L102" s="14"/>
      <c r="O102" s="9"/>
      <c r="P102" s="9"/>
      <c r="T102" s="5">
        <f>COUNTIF(Cluster_Posts!B:B, A102)</f>
        <v>0</v>
      </c>
      <c r="U102" s="9">
        <f>COUNTIFS(Cluster_Posts!B:B, A102, Cluster_Posts!P:P, "Published")</f>
        <v>0</v>
      </c>
      <c r="V102" s="9">
        <f t="shared" si="2"/>
        <v>0</v>
      </c>
    </row>
    <row r="103">
      <c r="F103" s="14"/>
      <c r="H103" s="14"/>
      <c r="I103" s="14"/>
      <c r="K103" s="14"/>
      <c r="L103" s="14"/>
      <c r="O103" s="9"/>
      <c r="P103" s="9"/>
      <c r="T103" s="5">
        <f>COUNTIF(Cluster_Posts!B:B, A103)</f>
        <v>0</v>
      </c>
      <c r="U103" s="9">
        <f>COUNTIFS(Cluster_Posts!B:B, A103, Cluster_Posts!P:P, "Published")</f>
        <v>0</v>
      </c>
      <c r="V103" s="9">
        <f t="shared" si="2"/>
        <v>0</v>
      </c>
    </row>
    <row r="104">
      <c r="F104" s="14"/>
      <c r="H104" s="14"/>
      <c r="I104" s="14"/>
      <c r="K104" s="14"/>
      <c r="L104" s="14"/>
      <c r="O104" s="9"/>
      <c r="P104" s="9"/>
      <c r="T104" s="5">
        <f>COUNTIF(Cluster_Posts!B:B, A104)</f>
        <v>0</v>
      </c>
      <c r="U104" s="9">
        <f>COUNTIFS(Cluster_Posts!B:B, A104, Cluster_Posts!P:P, "Published")</f>
        <v>0</v>
      </c>
      <c r="V104" s="9">
        <f t="shared" si="2"/>
        <v>0</v>
      </c>
    </row>
    <row r="105">
      <c r="F105" s="14"/>
      <c r="H105" s="14"/>
      <c r="I105" s="14"/>
      <c r="K105" s="14"/>
      <c r="L105" s="14"/>
      <c r="O105" s="9"/>
      <c r="P105" s="9"/>
      <c r="T105" s="5">
        <f>COUNTIF(Cluster_Posts!B:B, A105)</f>
        <v>0</v>
      </c>
      <c r="U105" s="9">
        <f>COUNTIFS(Cluster_Posts!B:B, A105, Cluster_Posts!P:P, "Published")</f>
        <v>0</v>
      </c>
      <c r="V105" s="9">
        <f t="shared" si="2"/>
        <v>0</v>
      </c>
    </row>
    <row r="106">
      <c r="F106" s="14"/>
      <c r="H106" s="14"/>
      <c r="I106" s="14"/>
      <c r="K106" s="14"/>
      <c r="L106" s="14"/>
      <c r="O106" s="9"/>
      <c r="P106" s="9"/>
      <c r="T106" s="5">
        <f>COUNTIF(Cluster_Posts!B:B, A106)</f>
        <v>0</v>
      </c>
      <c r="U106" s="9">
        <f>COUNTIFS(Cluster_Posts!B:B, A106, Cluster_Posts!P:P, "Published")</f>
        <v>0</v>
      </c>
      <c r="V106" s="9">
        <f t="shared" si="2"/>
        <v>0</v>
      </c>
    </row>
    <row r="107">
      <c r="F107" s="14"/>
      <c r="H107" s="14"/>
      <c r="I107" s="14"/>
      <c r="K107" s="14"/>
      <c r="L107" s="14"/>
      <c r="O107" s="9"/>
      <c r="P107" s="9"/>
      <c r="T107" s="5">
        <f>COUNTIF(Cluster_Posts!B:B, A107)</f>
        <v>0</v>
      </c>
      <c r="U107" s="9">
        <f>COUNTIFS(Cluster_Posts!B:B, A107, Cluster_Posts!P:P, "Published")</f>
        <v>0</v>
      </c>
      <c r="V107" s="9">
        <f t="shared" si="2"/>
        <v>0</v>
      </c>
    </row>
    <row r="108">
      <c r="F108" s="14"/>
      <c r="H108" s="14"/>
      <c r="I108" s="14"/>
      <c r="K108" s="14"/>
      <c r="L108" s="14"/>
      <c r="O108" s="9"/>
      <c r="P108" s="9"/>
      <c r="T108" s="5">
        <f>COUNTIF(Cluster_Posts!B:B, A108)</f>
        <v>0</v>
      </c>
      <c r="U108" s="9">
        <f>COUNTIFS(Cluster_Posts!B:B, A108, Cluster_Posts!P:P, "Published")</f>
        <v>0</v>
      </c>
      <c r="V108" s="9">
        <f t="shared" si="2"/>
        <v>0</v>
      </c>
    </row>
    <row r="109">
      <c r="F109" s="14"/>
      <c r="H109" s="14"/>
      <c r="I109" s="14"/>
      <c r="K109" s="14"/>
      <c r="L109" s="14"/>
      <c r="O109" s="9"/>
      <c r="P109" s="9"/>
      <c r="T109" s="5">
        <f>COUNTIF(Cluster_Posts!B:B, A109)</f>
        <v>0</v>
      </c>
      <c r="U109" s="9">
        <f>COUNTIFS(Cluster_Posts!B:B, A109, Cluster_Posts!P:P, "Published")</f>
        <v>0</v>
      </c>
      <c r="V109" s="9">
        <f t="shared" si="2"/>
        <v>0</v>
      </c>
    </row>
    <row r="110">
      <c r="F110" s="14"/>
      <c r="H110" s="14"/>
      <c r="I110" s="14"/>
      <c r="K110" s="14"/>
      <c r="L110" s="14"/>
      <c r="O110" s="9"/>
      <c r="P110" s="9"/>
      <c r="T110" s="5">
        <f>COUNTIF(Cluster_Posts!B:B, A110)</f>
        <v>0</v>
      </c>
      <c r="U110" s="9">
        <f>COUNTIFS(Cluster_Posts!B:B, A110, Cluster_Posts!P:P, "Published")</f>
        <v>0</v>
      </c>
      <c r="V110" s="9">
        <f t="shared" si="2"/>
        <v>0</v>
      </c>
    </row>
    <row r="111">
      <c r="F111" s="14"/>
      <c r="H111" s="14"/>
      <c r="I111" s="14"/>
      <c r="K111" s="14"/>
      <c r="L111" s="14"/>
      <c r="O111" s="9"/>
      <c r="P111" s="9"/>
      <c r="T111" s="5">
        <f>COUNTIF(Cluster_Posts!B:B, A111)</f>
        <v>0</v>
      </c>
      <c r="U111" s="9">
        <f>COUNTIFS(Cluster_Posts!B:B, A111, Cluster_Posts!P:P, "Published")</f>
        <v>0</v>
      </c>
      <c r="V111" s="9">
        <f t="shared" si="2"/>
        <v>0</v>
      </c>
    </row>
    <row r="112">
      <c r="F112" s="14"/>
      <c r="H112" s="14"/>
      <c r="I112" s="14"/>
      <c r="K112" s="14"/>
      <c r="L112" s="14"/>
      <c r="O112" s="9"/>
      <c r="P112" s="9"/>
      <c r="T112" s="5">
        <f>COUNTIF(Cluster_Posts!B:B, A112)</f>
        <v>0</v>
      </c>
      <c r="U112" s="9">
        <f>COUNTIFS(Cluster_Posts!B:B, A112, Cluster_Posts!P:P, "Published")</f>
        <v>0</v>
      </c>
      <c r="V112" s="9">
        <f t="shared" si="2"/>
        <v>0</v>
      </c>
    </row>
    <row r="113">
      <c r="F113" s="14"/>
      <c r="H113" s="14"/>
      <c r="I113" s="14"/>
      <c r="K113" s="14"/>
      <c r="L113" s="14"/>
      <c r="O113" s="9"/>
      <c r="P113" s="9"/>
    </row>
    <row r="114">
      <c r="F114" s="14"/>
      <c r="H114" s="14"/>
      <c r="I114" s="14"/>
      <c r="K114" s="14"/>
      <c r="L114" s="14"/>
      <c r="O114" s="9"/>
      <c r="P114" s="9"/>
    </row>
    <row r="115">
      <c r="F115" s="14"/>
      <c r="H115" s="14"/>
      <c r="I115" s="14"/>
      <c r="K115" s="14"/>
      <c r="L115" s="14"/>
      <c r="O115" s="9"/>
      <c r="P115" s="9"/>
    </row>
    <row r="116">
      <c r="F116" s="14"/>
      <c r="H116" s="14"/>
      <c r="I116" s="14"/>
      <c r="K116" s="14"/>
      <c r="L116" s="14"/>
      <c r="O116" s="9"/>
      <c r="P116" s="9"/>
    </row>
    <row r="117">
      <c r="F117" s="14"/>
      <c r="H117" s="14"/>
      <c r="I117" s="14"/>
      <c r="K117" s="14"/>
      <c r="L117" s="14"/>
      <c r="O117" s="9"/>
      <c r="P117" s="9"/>
    </row>
    <row r="118">
      <c r="F118" s="14"/>
      <c r="H118" s="14"/>
      <c r="I118" s="14"/>
      <c r="K118" s="14"/>
      <c r="L118" s="14"/>
      <c r="O118" s="9"/>
      <c r="P118" s="9"/>
    </row>
    <row r="119">
      <c r="F119" s="14"/>
      <c r="H119" s="14"/>
      <c r="I119" s="14"/>
      <c r="K119" s="14"/>
      <c r="L119" s="14"/>
      <c r="O119" s="9"/>
      <c r="P119" s="9"/>
    </row>
    <row r="120">
      <c r="F120" s="14"/>
      <c r="H120" s="14"/>
      <c r="I120" s="14"/>
      <c r="K120" s="14"/>
      <c r="L120" s="14"/>
      <c r="O120" s="9"/>
      <c r="P120" s="9"/>
    </row>
    <row r="121">
      <c r="F121" s="14"/>
      <c r="H121" s="14"/>
      <c r="I121" s="14"/>
      <c r="K121" s="14"/>
      <c r="L121" s="14"/>
      <c r="O121" s="9"/>
      <c r="P121" s="9"/>
    </row>
    <row r="122">
      <c r="F122" s="14"/>
      <c r="H122" s="14"/>
      <c r="I122" s="14"/>
      <c r="K122" s="14"/>
      <c r="L122" s="14"/>
      <c r="O122" s="9"/>
      <c r="P122" s="9"/>
    </row>
    <row r="123">
      <c r="F123" s="14"/>
      <c r="H123" s="14"/>
      <c r="I123" s="14"/>
      <c r="K123" s="14"/>
      <c r="L123" s="14"/>
      <c r="O123" s="9"/>
      <c r="P123" s="9"/>
    </row>
    <row r="124">
      <c r="F124" s="14"/>
      <c r="H124" s="14"/>
      <c r="I124" s="14"/>
      <c r="K124" s="14"/>
      <c r="L124" s="14"/>
      <c r="O124" s="9"/>
      <c r="P124" s="9"/>
    </row>
    <row r="125">
      <c r="F125" s="14"/>
      <c r="H125" s="14"/>
      <c r="I125" s="14"/>
      <c r="K125" s="14"/>
      <c r="L125" s="14"/>
      <c r="O125" s="9"/>
      <c r="P125" s="9"/>
    </row>
    <row r="126">
      <c r="F126" s="14"/>
      <c r="H126" s="14"/>
      <c r="I126" s="14"/>
      <c r="K126" s="14"/>
      <c r="L126" s="14"/>
      <c r="O126" s="9"/>
      <c r="P126" s="9"/>
    </row>
    <row r="127">
      <c r="F127" s="14"/>
      <c r="H127" s="14"/>
      <c r="I127" s="14"/>
      <c r="K127" s="14"/>
      <c r="L127" s="14"/>
      <c r="O127" s="9"/>
      <c r="P127" s="9"/>
    </row>
    <row r="128">
      <c r="F128" s="14"/>
      <c r="H128" s="14"/>
      <c r="I128" s="14"/>
      <c r="K128" s="14"/>
      <c r="L128" s="14"/>
      <c r="O128" s="9"/>
      <c r="P128" s="9"/>
    </row>
    <row r="129">
      <c r="F129" s="14"/>
      <c r="H129" s="14"/>
      <c r="I129" s="14"/>
      <c r="K129" s="14"/>
      <c r="L129" s="14"/>
      <c r="O129" s="9"/>
      <c r="P129" s="9"/>
    </row>
    <row r="130">
      <c r="F130" s="14"/>
      <c r="H130" s="14"/>
      <c r="I130" s="14"/>
      <c r="K130" s="14"/>
      <c r="L130" s="14"/>
      <c r="O130" s="9"/>
      <c r="P130" s="9"/>
    </row>
    <row r="131">
      <c r="F131" s="14"/>
      <c r="H131" s="14"/>
      <c r="I131" s="14"/>
      <c r="K131" s="14"/>
      <c r="L131" s="14"/>
      <c r="O131" s="9"/>
      <c r="P131" s="9"/>
    </row>
    <row r="132">
      <c r="F132" s="14"/>
      <c r="H132" s="14"/>
      <c r="I132" s="14"/>
      <c r="K132" s="14"/>
      <c r="L132" s="14"/>
      <c r="O132" s="9"/>
      <c r="P132" s="9"/>
    </row>
    <row r="133">
      <c r="F133" s="14"/>
      <c r="H133" s="14"/>
      <c r="I133" s="14"/>
      <c r="K133" s="14"/>
      <c r="L133" s="14"/>
      <c r="O133" s="9"/>
      <c r="P133" s="9"/>
    </row>
    <row r="134">
      <c r="F134" s="14"/>
      <c r="H134" s="14"/>
      <c r="I134" s="14"/>
      <c r="K134" s="14"/>
      <c r="L134" s="14"/>
      <c r="O134" s="9"/>
      <c r="P134" s="9"/>
    </row>
    <row r="135">
      <c r="F135" s="14"/>
      <c r="H135" s="14"/>
      <c r="I135" s="14"/>
      <c r="K135" s="14"/>
      <c r="L135" s="14"/>
      <c r="O135" s="9"/>
      <c r="P135" s="9"/>
    </row>
    <row r="136">
      <c r="F136" s="14"/>
      <c r="H136" s="14"/>
      <c r="I136" s="14"/>
      <c r="K136" s="14"/>
      <c r="L136" s="14"/>
      <c r="O136" s="9"/>
      <c r="P136" s="9"/>
    </row>
    <row r="137">
      <c r="F137" s="14"/>
      <c r="H137" s="14"/>
      <c r="I137" s="14"/>
      <c r="K137" s="14"/>
      <c r="L137" s="14"/>
      <c r="O137" s="9"/>
      <c r="P137" s="9"/>
    </row>
    <row r="138">
      <c r="F138" s="14"/>
      <c r="H138" s="14"/>
      <c r="I138" s="14"/>
      <c r="K138" s="14"/>
      <c r="L138" s="14"/>
      <c r="O138" s="9"/>
      <c r="P138" s="9"/>
    </row>
    <row r="139">
      <c r="F139" s="14"/>
      <c r="H139" s="14"/>
      <c r="I139" s="14"/>
      <c r="K139" s="14"/>
      <c r="L139" s="14"/>
      <c r="O139" s="9"/>
      <c r="P139" s="9"/>
    </row>
    <row r="140">
      <c r="F140" s="14"/>
      <c r="H140" s="14"/>
      <c r="I140" s="14"/>
      <c r="K140" s="14"/>
      <c r="L140" s="14"/>
      <c r="O140" s="9"/>
      <c r="P140" s="9"/>
    </row>
    <row r="141">
      <c r="F141" s="14"/>
      <c r="H141" s="14"/>
      <c r="I141" s="14"/>
      <c r="K141" s="14"/>
      <c r="L141" s="14"/>
      <c r="O141" s="9"/>
      <c r="P141" s="9"/>
    </row>
    <row r="142">
      <c r="F142" s="14"/>
      <c r="H142" s="14"/>
      <c r="I142" s="14"/>
      <c r="K142" s="14"/>
      <c r="L142" s="14"/>
      <c r="O142" s="9"/>
      <c r="P142" s="9"/>
    </row>
    <row r="143">
      <c r="F143" s="14"/>
      <c r="H143" s="14"/>
      <c r="I143" s="14"/>
      <c r="K143" s="14"/>
      <c r="L143" s="14"/>
      <c r="O143" s="9"/>
      <c r="P143" s="9"/>
    </row>
    <row r="144">
      <c r="F144" s="14"/>
      <c r="H144" s="14"/>
      <c r="I144" s="14"/>
      <c r="K144" s="14"/>
      <c r="L144" s="14"/>
      <c r="O144" s="9"/>
      <c r="P144" s="9"/>
    </row>
    <row r="145">
      <c r="F145" s="14"/>
      <c r="H145" s="14"/>
      <c r="I145" s="14"/>
      <c r="K145" s="14"/>
      <c r="L145" s="14"/>
      <c r="O145" s="9"/>
      <c r="P145" s="9"/>
    </row>
    <row r="146">
      <c r="F146" s="14"/>
      <c r="H146" s="14"/>
      <c r="I146" s="14"/>
      <c r="K146" s="14"/>
      <c r="L146" s="14"/>
      <c r="O146" s="9"/>
      <c r="P146" s="9"/>
    </row>
    <row r="147">
      <c r="F147" s="14"/>
      <c r="H147" s="14"/>
      <c r="I147" s="14"/>
      <c r="K147" s="14"/>
      <c r="L147" s="14"/>
      <c r="O147" s="9"/>
      <c r="P147" s="9"/>
    </row>
    <row r="148">
      <c r="F148" s="14"/>
      <c r="H148" s="14"/>
      <c r="I148" s="14"/>
      <c r="K148" s="14"/>
      <c r="L148" s="14"/>
      <c r="O148" s="9"/>
      <c r="P148" s="9"/>
    </row>
    <row r="149">
      <c r="F149" s="14"/>
      <c r="H149" s="14"/>
      <c r="I149" s="14"/>
      <c r="K149" s="14"/>
      <c r="L149" s="14"/>
      <c r="O149" s="9"/>
      <c r="P149" s="9"/>
    </row>
    <row r="150">
      <c r="F150" s="14"/>
      <c r="H150" s="14"/>
      <c r="I150" s="14"/>
      <c r="K150" s="14"/>
      <c r="L150" s="14"/>
      <c r="O150" s="9"/>
      <c r="P150" s="9"/>
    </row>
    <row r="151">
      <c r="F151" s="14"/>
      <c r="H151" s="14"/>
      <c r="I151" s="14"/>
      <c r="K151" s="14"/>
      <c r="L151" s="14"/>
      <c r="O151" s="9"/>
      <c r="P151" s="9"/>
    </row>
    <row r="152">
      <c r="F152" s="14"/>
      <c r="H152" s="14"/>
      <c r="I152" s="14"/>
      <c r="K152" s="14"/>
      <c r="L152" s="14"/>
      <c r="O152" s="9"/>
      <c r="P152" s="9"/>
    </row>
    <row r="153">
      <c r="F153" s="14"/>
      <c r="H153" s="14"/>
      <c r="I153" s="14"/>
      <c r="K153" s="14"/>
      <c r="L153" s="14"/>
      <c r="O153" s="9"/>
      <c r="P153" s="9"/>
    </row>
    <row r="154">
      <c r="F154" s="14"/>
      <c r="H154" s="14"/>
      <c r="I154" s="14"/>
      <c r="K154" s="14"/>
      <c r="L154" s="14"/>
      <c r="O154" s="9"/>
      <c r="P154" s="9"/>
    </row>
    <row r="155">
      <c r="F155" s="14"/>
      <c r="H155" s="14"/>
      <c r="I155" s="14"/>
      <c r="K155" s="14"/>
      <c r="L155" s="14"/>
      <c r="O155" s="9"/>
      <c r="P155" s="9"/>
    </row>
    <row r="156">
      <c r="F156" s="14"/>
      <c r="H156" s="14"/>
      <c r="I156" s="14"/>
      <c r="K156" s="14"/>
      <c r="L156" s="14"/>
      <c r="O156" s="9"/>
      <c r="P156" s="9"/>
    </row>
    <row r="157">
      <c r="F157" s="14"/>
      <c r="H157" s="14"/>
      <c r="I157" s="14"/>
      <c r="K157" s="14"/>
      <c r="L157" s="14"/>
      <c r="O157" s="9"/>
      <c r="P157" s="9"/>
    </row>
    <row r="158">
      <c r="F158" s="14"/>
      <c r="H158" s="14"/>
      <c r="I158" s="14"/>
      <c r="K158" s="14"/>
      <c r="L158" s="14"/>
      <c r="O158" s="9"/>
      <c r="P158" s="9"/>
    </row>
    <row r="159">
      <c r="F159" s="14"/>
      <c r="H159" s="14"/>
      <c r="I159" s="14"/>
      <c r="K159" s="14"/>
      <c r="L159" s="14"/>
      <c r="O159" s="9"/>
      <c r="P159" s="9"/>
    </row>
    <row r="160">
      <c r="F160" s="14"/>
      <c r="H160" s="14"/>
      <c r="I160" s="14"/>
      <c r="K160" s="14"/>
      <c r="L160" s="14"/>
      <c r="O160" s="9"/>
      <c r="P160" s="9"/>
    </row>
    <row r="161">
      <c r="F161" s="14"/>
      <c r="H161" s="14"/>
      <c r="I161" s="14"/>
      <c r="K161" s="14"/>
      <c r="L161" s="14"/>
      <c r="O161" s="9"/>
      <c r="P161" s="9"/>
    </row>
    <row r="162">
      <c r="F162" s="14"/>
      <c r="H162" s="14"/>
      <c r="I162" s="14"/>
      <c r="K162" s="14"/>
      <c r="L162" s="14"/>
      <c r="O162" s="9"/>
      <c r="P162" s="9"/>
    </row>
    <row r="163">
      <c r="F163" s="14"/>
      <c r="H163" s="14"/>
      <c r="I163" s="14"/>
      <c r="K163" s="14"/>
      <c r="L163" s="14"/>
      <c r="O163" s="9"/>
      <c r="P163" s="9"/>
    </row>
    <row r="164">
      <c r="F164" s="14"/>
      <c r="H164" s="14"/>
      <c r="I164" s="14"/>
      <c r="K164" s="14"/>
      <c r="L164" s="14"/>
      <c r="O164" s="9"/>
      <c r="P164" s="9"/>
    </row>
    <row r="165">
      <c r="F165" s="14"/>
      <c r="H165" s="14"/>
      <c r="I165" s="14"/>
      <c r="K165" s="14"/>
      <c r="L165" s="14"/>
      <c r="O165" s="9"/>
      <c r="P165" s="9"/>
    </row>
    <row r="166">
      <c r="F166" s="14"/>
      <c r="H166" s="14"/>
      <c r="I166" s="14"/>
      <c r="K166" s="14"/>
      <c r="L166" s="14"/>
      <c r="O166" s="9"/>
      <c r="P166" s="9"/>
    </row>
    <row r="167">
      <c r="F167" s="14"/>
      <c r="H167" s="14"/>
      <c r="I167" s="14"/>
      <c r="K167" s="14"/>
      <c r="L167" s="14"/>
      <c r="O167" s="9"/>
      <c r="P167" s="9"/>
    </row>
    <row r="168">
      <c r="F168" s="14"/>
      <c r="H168" s="14"/>
      <c r="I168" s="14"/>
      <c r="K168" s="14"/>
      <c r="L168" s="14"/>
      <c r="O168" s="9"/>
      <c r="P168" s="9"/>
    </row>
    <row r="169">
      <c r="F169" s="14"/>
      <c r="H169" s="14"/>
      <c r="I169" s="14"/>
      <c r="K169" s="14"/>
      <c r="L169" s="14"/>
      <c r="O169" s="9"/>
      <c r="P169" s="9"/>
    </row>
    <row r="170">
      <c r="F170" s="14"/>
      <c r="H170" s="14"/>
      <c r="I170" s="14"/>
      <c r="K170" s="14"/>
      <c r="L170" s="14"/>
      <c r="O170" s="9"/>
      <c r="P170" s="9"/>
    </row>
    <row r="171">
      <c r="F171" s="14"/>
      <c r="H171" s="14"/>
      <c r="I171" s="14"/>
      <c r="K171" s="14"/>
      <c r="L171" s="14"/>
      <c r="O171" s="9"/>
      <c r="P171" s="9"/>
    </row>
    <row r="172">
      <c r="F172" s="14"/>
      <c r="H172" s="14"/>
      <c r="I172" s="14"/>
      <c r="K172" s="14"/>
      <c r="L172" s="14"/>
      <c r="O172" s="9"/>
      <c r="P172" s="9"/>
    </row>
    <row r="173">
      <c r="F173" s="14"/>
      <c r="H173" s="14"/>
      <c r="I173" s="14"/>
      <c r="K173" s="14"/>
      <c r="L173" s="14"/>
      <c r="O173" s="9"/>
      <c r="P173" s="9"/>
    </row>
    <row r="174">
      <c r="F174" s="14"/>
      <c r="H174" s="14"/>
      <c r="I174" s="14"/>
      <c r="K174" s="14"/>
      <c r="L174" s="14"/>
      <c r="O174" s="9"/>
      <c r="P174" s="9"/>
    </row>
    <row r="175">
      <c r="F175" s="14"/>
      <c r="H175" s="14"/>
      <c r="I175" s="14"/>
      <c r="K175" s="14"/>
      <c r="L175" s="14"/>
      <c r="O175" s="9"/>
      <c r="P175" s="9"/>
    </row>
    <row r="176">
      <c r="F176" s="14"/>
      <c r="H176" s="14"/>
      <c r="I176" s="14"/>
      <c r="K176" s="14"/>
      <c r="L176" s="14"/>
      <c r="O176" s="9"/>
      <c r="P176" s="9"/>
    </row>
    <row r="177">
      <c r="F177" s="14"/>
      <c r="H177" s="14"/>
      <c r="I177" s="14"/>
      <c r="K177" s="14"/>
      <c r="L177" s="14"/>
      <c r="O177" s="9"/>
      <c r="P177" s="9"/>
    </row>
    <row r="178">
      <c r="F178" s="14"/>
      <c r="H178" s="14"/>
      <c r="I178" s="14"/>
      <c r="K178" s="14"/>
      <c r="L178" s="14"/>
      <c r="O178" s="9"/>
      <c r="P178" s="9"/>
    </row>
    <row r="179">
      <c r="F179" s="14"/>
      <c r="H179" s="14"/>
      <c r="I179" s="14"/>
      <c r="K179" s="14"/>
      <c r="L179" s="14"/>
      <c r="O179" s="9"/>
      <c r="P179" s="9"/>
    </row>
    <row r="180">
      <c r="F180" s="14"/>
      <c r="H180" s="14"/>
      <c r="I180" s="14"/>
      <c r="K180" s="14"/>
      <c r="L180" s="14"/>
      <c r="O180" s="9"/>
      <c r="P180" s="9"/>
    </row>
    <row r="181">
      <c r="F181" s="14"/>
      <c r="H181" s="14"/>
      <c r="I181" s="14"/>
      <c r="K181" s="14"/>
      <c r="L181" s="14"/>
      <c r="O181" s="9"/>
      <c r="P181" s="9"/>
    </row>
    <row r="182">
      <c r="F182" s="14"/>
      <c r="H182" s="14"/>
      <c r="I182" s="14"/>
      <c r="K182" s="14"/>
      <c r="L182" s="14"/>
      <c r="O182" s="9"/>
      <c r="P182" s="9"/>
    </row>
    <row r="183">
      <c r="F183" s="14"/>
      <c r="H183" s="14"/>
      <c r="I183" s="14"/>
      <c r="K183" s="14"/>
      <c r="L183" s="14"/>
      <c r="O183" s="9"/>
      <c r="P183" s="9"/>
    </row>
    <row r="184">
      <c r="F184" s="14"/>
      <c r="H184" s="14"/>
      <c r="I184" s="14"/>
      <c r="K184" s="14"/>
      <c r="L184" s="14"/>
      <c r="O184" s="9"/>
      <c r="P184" s="9"/>
    </row>
    <row r="185">
      <c r="F185" s="14"/>
      <c r="H185" s="14"/>
      <c r="I185" s="14"/>
      <c r="K185" s="14"/>
      <c r="L185" s="14"/>
      <c r="O185" s="9"/>
      <c r="P185" s="9"/>
    </row>
    <row r="186">
      <c r="F186" s="14"/>
      <c r="H186" s="14"/>
      <c r="I186" s="14"/>
      <c r="K186" s="14"/>
      <c r="L186" s="14"/>
      <c r="O186" s="9"/>
      <c r="P186" s="9"/>
    </row>
    <row r="187">
      <c r="F187" s="14"/>
      <c r="H187" s="14"/>
      <c r="I187" s="14"/>
      <c r="K187" s="14"/>
      <c r="L187" s="14"/>
      <c r="O187" s="9"/>
      <c r="P187" s="9"/>
    </row>
    <row r="188">
      <c r="F188" s="14"/>
      <c r="H188" s="14"/>
      <c r="I188" s="14"/>
      <c r="K188" s="14"/>
      <c r="L188" s="14"/>
      <c r="O188" s="9"/>
      <c r="P188" s="9"/>
    </row>
    <row r="189">
      <c r="F189" s="14"/>
      <c r="H189" s="14"/>
      <c r="I189" s="14"/>
      <c r="K189" s="14"/>
      <c r="L189" s="14"/>
      <c r="O189" s="9"/>
      <c r="P189" s="9"/>
    </row>
    <row r="190">
      <c r="F190" s="14"/>
      <c r="H190" s="14"/>
      <c r="I190" s="14"/>
      <c r="K190" s="14"/>
      <c r="L190" s="14"/>
      <c r="O190" s="9"/>
      <c r="P190" s="9"/>
    </row>
    <row r="191">
      <c r="F191" s="14"/>
      <c r="H191" s="14"/>
      <c r="I191" s="14"/>
      <c r="K191" s="14"/>
      <c r="L191" s="14"/>
      <c r="O191" s="9"/>
      <c r="P191" s="9"/>
    </row>
    <row r="192">
      <c r="F192" s="14"/>
      <c r="H192" s="14"/>
      <c r="I192" s="14"/>
      <c r="K192" s="14"/>
      <c r="L192" s="14"/>
      <c r="O192" s="9"/>
      <c r="P192" s="9"/>
    </row>
    <row r="193">
      <c r="F193" s="14"/>
      <c r="H193" s="14"/>
      <c r="I193" s="14"/>
      <c r="K193" s="14"/>
      <c r="L193" s="14"/>
      <c r="O193" s="9"/>
      <c r="P193" s="9"/>
    </row>
    <row r="194">
      <c r="F194" s="14"/>
      <c r="H194" s="14"/>
      <c r="I194" s="14"/>
      <c r="K194" s="14"/>
      <c r="L194" s="14"/>
      <c r="O194" s="9"/>
      <c r="P194" s="9"/>
    </row>
    <row r="195">
      <c r="F195" s="14"/>
      <c r="H195" s="14"/>
      <c r="I195" s="14"/>
      <c r="K195" s="14"/>
      <c r="L195" s="14"/>
      <c r="O195" s="9"/>
      <c r="P195" s="9"/>
    </row>
    <row r="196">
      <c r="F196" s="14"/>
      <c r="H196" s="14"/>
      <c r="I196" s="14"/>
      <c r="K196" s="14"/>
      <c r="L196" s="14"/>
      <c r="O196" s="9"/>
      <c r="P196" s="9"/>
    </row>
    <row r="197">
      <c r="F197" s="14"/>
      <c r="H197" s="14"/>
      <c r="I197" s="14"/>
      <c r="K197" s="14"/>
      <c r="L197" s="14"/>
      <c r="O197" s="9"/>
      <c r="P197" s="9"/>
    </row>
    <row r="198">
      <c r="F198" s="14"/>
      <c r="H198" s="14"/>
      <c r="I198" s="14"/>
      <c r="K198" s="14"/>
      <c r="L198" s="14"/>
      <c r="O198" s="9"/>
      <c r="P198" s="9"/>
    </row>
    <row r="199">
      <c r="F199" s="14"/>
      <c r="H199" s="14"/>
      <c r="I199" s="14"/>
      <c r="K199" s="14"/>
      <c r="L199" s="14"/>
      <c r="O199" s="9"/>
      <c r="P199" s="9"/>
    </row>
    <row r="200">
      <c r="F200" s="14"/>
      <c r="H200" s="14"/>
      <c r="I200" s="14"/>
      <c r="K200" s="14"/>
      <c r="L200" s="14"/>
      <c r="O200" s="9"/>
      <c r="P200" s="9"/>
    </row>
    <row r="201">
      <c r="F201" s="14"/>
      <c r="H201" s="14"/>
      <c r="I201" s="14"/>
      <c r="K201" s="14"/>
      <c r="L201" s="14"/>
      <c r="O201" s="9"/>
      <c r="P201" s="9"/>
    </row>
    <row r="202">
      <c r="F202" s="14"/>
      <c r="H202" s="14"/>
      <c r="I202" s="14"/>
      <c r="K202" s="14"/>
      <c r="L202" s="14"/>
      <c r="O202" s="9"/>
      <c r="P202" s="9"/>
    </row>
    <row r="203">
      <c r="F203" s="14"/>
      <c r="H203" s="14"/>
      <c r="I203" s="14"/>
      <c r="K203" s="14"/>
      <c r="L203" s="14"/>
      <c r="O203" s="9"/>
      <c r="P203" s="9"/>
    </row>
    <row r="204">
      <c r="F204" s="14"/>
      <c r="H204" s="14"/>
      <c r="I204" s="14"/>
      <c r="K204" s="14"/>
      <c r="L204" s="14"/>
      <c r="O204" s="9"/>
      <c r="P204" s="9"/>
    </row>
    <row r="205">
      <c r="F205" s="14"/>
      <c r="H205" s="14"/>
      <c r="I205" s="14"/>
      <c r="K205" s="14"/>
      <c r="L205" s="14"/>
      <c r="O205" s="9"/>
      <c r="P205" s="9"/>
    </row>
    <row r="206">
      <c r="F206" s="14"/>
      <c r="H206" s="14"/>
      <c r="I206" s="14"/>
      <c r="K206" s="14"/>
      <c r="L206" s="14"/>
      <c r="O206" s="9"/>
      <c r="P206" s="9"/>
    </row>
    <row r="207">
      <c r="F207" s="14"/>
      <c r="H207" s="14"/>
      <c r="I207" s="14"/>
      <c r="K207" s="14"/>
      <c r="L207" s="14"/>
      <c r="O207" s="9"/>
      <c r="P207" s="9"/>
    </row>
    <row r="208">
      <c r="F208" s="14"/>
      <c r="H208" s="14"/>
      <c r="I208" s="14"/>
      <c r="K208" s="14"/>
      <c r="L208" s="14"/>
      <c r="O208" s="9"/>
      <c r="P208" s="9"/>
    </row>
    <row r="209">
      <c r="F209" s="14"/>
      <c r="H209" s="14"/>
      <c r="I209" s="14"/>
      <c r="K209" s="14"/>
      <c r="L209" s="14"/>
      <c r="O209" s="9"/>
      <c r="P209" s="9"/>
    </row>
    <row r="210">
      <c r="F210" s="14"/>
      <c r="H210" s="14"/>
      <c r="I210" s="14"/>
      <c r="K210" s="14"/>
      <c r="L210" s="14"/>
      <c r="O210" s="9"/>
      <c r="P210" s="9"/>
    </row>
    <row r="211">
      <c r="F211" s="14"/>
      <c r="H211" s="14"/>
      <c r="I211" s="14"/>
      <c r="K211" s="14"/>
      <c r="L211" s="14"/>
      <c r="O211" s="9"/>
      <c r="P211" s="9"/>
    </row>
    <row r="212">
      <c r="F212" s="14"/>
      <c r="H212" s="14"/>
      <c r="I212" s="14"/>
      <c r="K212" s="14"/>
      <c r="L212" s="14"/>
      <c r="O212" s="9"/>
      <c r="P212" s="9"/>
    </row>
    <row r="213">
      <c r="F213" s="14"/>
      <c r="H213" s="14"/>
      <c r="I213" s="14"/>
      <c r="K213" s="14"/>
      <c r="L213" s="14"/>
      <c r="O213" s="9"/>
      <c r="P213" s="9"/>
    </row>
    <row r="214">
      <c r="F214" s="14"/>
      <c r="H214" s="14"/>
      <c r="I214" s="14"/>
      <c r="K214" s="14"/>
      <c r="L214" s="14"/>
      <c r="O214" s="9"/>
      <c r="P214" s="9"/>
    </row>
    <row r="215">
      <c r="F215" s="14"/>
      <c r="H215" s="14"/>
      <c r="I215" s="14"/>
      <c r="K215" s="14"/>
      <c r="L215" s="14"/>
      <c r="O215" s="9"/>
      <c r="P215" s="9"/>
    </row>
    <row r="216">
      <c r="F216" s="14"/>
      <c r="H216" s="14"/>
      <c r="I216" s="14"/>
      <c r="K216" s="14"/>
      <c r="L216" s="14"/>
      <c r="O216" s="9"/>
      <c r="P216" s="9"/>
    </row>
    <row r="217">
      <c r="F217" s="14"/>
      <c r="H217" s="14"/>
      <c r="I217" s="14"/>
      <c r="K217" s="14"/>
      <c r="L217" s="14"/>
      <c r="O217" s="9"/>
      <c r="P217" s="9"/>
    </row>
    <row r="218">
      <c r="F218" s="14"/>
      <c r="H218" s="14"/>
      <c r="I218" s="14"/>
      <c r="K218" s="14"/>
      <c r="L218" s="14"/>
      <c r="O218" s="9"/>
      <c r="P218" s="9"/>
    </row>
    <row r="219">
      <c r="F219" s="14"/>
      <c r="H219" s="14"/>
      <c r="I219" s="14"/>
      <c r="K219" s="14"/>
      <c r="L219" s="14"/>
      <c r="O219" s="9"/>
      <c r="P219" s="9"/>
    </row>
    <row r="220">
      <c r="F220" s="14"/>
      <c r="H220" s="14"/>
      <c r="I220" s="14"/>
      <c r="K220" s="14"/>
      <c r="L220" s="14"/>
      <c r="O220" s="9"/>
      <c r="P220" s="9"/>
    </row>
    <row r="221">
      <c r="F221" s="14"/>
      <c r="H221" s="14"/>
      <c r="I221" s="14"/>
      <c r="K221" s="14"/>
      <c r="L221" s="14"/>
      <c r="O221" s="9"/>
      <c r="P221" s="9"/>
    </row>
    <row r="222">
      <c r="F222" s="14"/>
      <c r="H222" s="14"/>
      <c r="I222" s="14"/>
      <c r="K222" s="14"/>
      <c r="L222" s="14"/>
      <c r="O222" s="9"/>
      <c r="P222" s="9"/>
    </row>
    <row r="223">
      <c r="F223" s="14"/>
      <c r="H223" s="14"/>
      <c r="I223" s="14"/>
      <c r="K223" s="14"/>
      <c r="L223" s="14"/>
      <c r="O223" s="9"/>
      <c r="P223" s="9"/>
    </row>
    <row r="224">
      <c r="F224" s="14"/>
      <c r="H224" s="14"/>
      <c r="I224" s="14"/>
      <c r="K224" s="14"/>
      <c r="L224" s="14"/>
      <c r="O224" s="9"/>
      <c r="P224" s="9"/>
    </row>
    <row r="225">
      <c r="F225" s="14"/>
      <c r="H225" s="14"/>
      <c r="I225" s="14"/>
      <c r="K225" s="14"/>
      <c r="L225" s="14"/>
      <c r="O225" s="9"/>
      <c r="P225" s="9"/>
    </row>
    <row r="226">
      <c r="F226" s="14"/>
      <c r="H226" s="14"/>
      <c r="I226" s="14"/>
      <c r="K226" s="14"/>
      <c r="L226" s="14"/>
      <c r="O226" s="9"/>
      <c r="P226" s="9"/>
    </row>
    <row r="227">
      <c r="F227" s="14"/>
      <c r="H227" s="14"/>
      <c r="I227" s="14"/>
      <c r="K227" s="14"/>
      <c r="L227" s="14"/>
      <c r="O227" s="9"/>
      <c r="P227" s="9"/>
    </row>
    <row r="228">
      <c r="F228" s="14"/>
      <c r="H228" s="14"/>
      <c r="I228" s="14"/>
      <c r="K228" s="14"/>
      <c r="L228" s="14"/>
      <c r="O228" s="9"/>
      <c r="P228" s="9"/>
    </row>
    <row r="229">
      <c r="F229" s="14"/>
      <c r="H229" s="14"/>
      <c r="I229" s="14"/>
      <c r="K229" s="14"/>
      <c r="L229" s="14"/>
      <c r="O229" s="9"/>
      <c r="P229" s="9"/>
    </row>
    <row r="230">
      <c r="F230" s="14"/>
      <c r="H230" s="14"/>
      <c r="I230" s="14"/>
      <c r="K230" s="14"/>
      <c r="L230" s="14"/>
      <c r="O230" s="9"/>
      <c r="P230" s="9"/>
    </row>
    <row r="231">
      <c r="F231" s="14"/>
      <c r="H231" s="14"/>
      <c r="I231" s="14"/>
      <c r="K231" s="14"/>
      <c r="L231" s="14"/>
      <c r="O231" s="9"/>
      <c r="P231" s="9"/>
    </row>
    <row r="232">
      <c r="F232" s="14"/>
      <c r="H232" s="14"/>
      <c r="I232" s="14"/>
      <c r="K232" s="14"/>
      <c r="L232" s="14"/>
      <c r="O232" s="9"/>
      <c r="P232" s="9"/>
    </row>
    <row r="233">
      <c r="F233" s="14"/>
      <c r="H233" s="14"/>
      <c r="I233" s="14"/>
      <c r="K233" s="14"/>
      <c r="L233" s="14"/>
      <c r="O233" s="9"/>
      <c r="P233" s="9"/>
    </row>
    <row r="234">
      <c r="F234" s="14"/>
      <c r="H234" s="14"/>
      <c r="I234" s="14"/>
      <c r="K234" s="14"/>
      <c r="L234" s="14"/>
      <c r="O234" s="9"/>
      <c r="P234" s="9"/>
    </row>
    <row r="235">
      <c r="F235" s="14"/>
      <c r="H235" s="14"/>
      <c r="I235" s="14"/>
      <c r="K235" s="14"/>
      <c r="L235" s="14"/>
      <c r="O235" s="9"/>
      <c r="P235" s="9"/>
    </row>
    <row r="236">
      <c r="F236" s="14"/>
      <c r="H236" s="14"/>
      <c r="I236" s="14"/>
      <c r="K236" s="14"/>
      <c r="L236" s="14"/>
      <c r="O236" s="9"/>
      <c r="P236" s="9"/>
    </row>
    <row r="237">
      <c r="F237" s="14"/>
      <c r="H237" s="14"/>
      <c r="I237" s="14"/>
      <c r="K237" s="14"/>
      <c r="L237" s="14"/>
      <c r="O237" s="9"/>
      <c r="P237" s="9"/>
    </row>
    <row r="238">
      <c r="F238" s="14"/>
      <c r="H238" s="14"/>
      <c r="I238" s="14"/>
      <c r="K238" s="14"/>
      <c r="L238" s="14"/>
      <c r="O238" s="9"/>
      <c r="P238" s="9"/>
    </row>
    <row r="239">
      <c r="F239" s="14"/>
      <c r="H239" s="14"/>
      <c r="I239" s="14"/>
      <c r="K239" s="14"/>
      <c r="L239" s="14"/>
      <c r="O239" s="9"/>
      <c r="P239" s="9"/>
    </row>
    <row r="240">
      <c r="F240" s="14"/>
      <c r="H240" s="14"/>
      <c r="I240" s="14"/>
      <c r="K240" s="14"/>
      <c r="L240" s="14"/>
      <c r="O240" s="9"/>
      <c r="P240" s="9"/>
    </row>
    <row r="241">
      <c r="F241" s="14"/>
      <c r="H241" s="14"/>
      <c r="I241" s="14"/>
      <c r="K241" s="14"/>
      <c r="L241" s="14"/>
      <c r="O241" s="9"/>
      <c r="P241" s="9"/>
    </row>
    <row r="242">
      <c r="F242" s="14"/>
      <c r="H242" s="14"/>
      <c r="I242" s="14"/>
      <c r="K242" s="14"/>
      <c r="L242" s="14"/>
      <c r="O242" s="9"/>
      <c r="P242" s="9"/>
    </row>
    <row r="243">
      <c r="F243" s="14"/>
      <c r="H243" s="14"/>
      <c r="I243" s="14"/>
      <c r="K243" s="14"/>
      <c r="L243" s="14"/>
      <c r="O243" s="9"/>
      <c r="P243" s="9"/>
    </row>
    <row r="244">
      <c r="F244" s="14"/>
      <c r="H244" s="14"/>
      <c r="I244" s="14"/>
      <c r="K244" s="14"/>
      <c r="L244" s="14"/>
      <c r="O244" s="9"/>
      <c r="P244" s="9"/>
    </row>
    <row r="245">
      <c r="F245" s="14"/>
      <c r="H245" s="14"/>
      <c r="I245" s="14"/>
      <c r="K245" s="14"/>
      <c r="L245" s="14"/>
      <c r="O245" s="9"/>
      <c r="P245" s="9"/>
    </row>
    <row r="246">
      <c r="F246" s="14"/>
      <c r="H246" s="14"/>
      <c r="I246" s="14"/>
      <c r="K246" s="14"/>
      <c r="L246" s="14"/>
      <c r="O246" s="9"/>
      <c r="P246" s="9"/>
    </row>
    <row r="247">
      <c r="F247" s="14"/>
      <c r="H247" s="14"/>
      <c r="I247" s="14"/>
      <c r="K247" s="14"/>
      <c r="L247" s="14"/>
      <c r="O247" s="9"/>
      <c r="P247" s="9"/>
    </row>
    <row r="248">
      <c r="F248" s="14"/>
      <c r="H248" s="14"/>
      <c r="I248" s="14"/>
      <c r="K248" s="14"/>
      <c r="L248" s="14"/>
      <c r="O248" s="9"/>
      <c r="P248" s="9"/>
    </row>
    <row r="249">
      <c r="F249" s="14"/>
      <c r="H249" s="14"/>
      <c r="I249" s="14"/>
      <c r="K249" s="14"/>
      <c r="L249" s="14"/>
      <c r="O249" s="9"/>
      <c r="P249" s="9"/>
    </row>
    <row r="250">
      <c r="F250" s="14"/>
      <c r="H250" s="14"/>
      <c r="I250" s="14"/>
      <c r="K250" s="14"/>
      <c r="L250" s="14"/>
      <c r="O250" s="9"/>
      <c r="P250" s="9"/>
    </row>
    <row r="251">
      <c r="F251" s="14"/>
      <c r="H251" s="14"/>
      <c r="I251" s="14"/>
      <c r="K251" s="14"/>
      <c r="L251" s="14"/>
      <c r="O251" s="9"/>
      <c r="P251" s="9"/>
    </row>
    <row r="252">
      <c r="F252" s="14"/>
      <c r="H252" s="14"/>
      <c r="I252" s="14"/>
      <c r="K252" s="14"/>
      <c r="L252" s="14"/>
      <c r="O252" s="9"/>
      <c r="P252" s="9"/>
    </row>
    <row r="253">
      <c r="F253" s="14"/>
      <c r="H253" s="14"/>
      <c r="I253" s="14"/>
      <c r="K253" s="14"/>
      <c r="L253" s="14"/>
      <c r="O253" s="9"/>
      <c r="P253" s="9"/>
    </row>
    <row r="254">
      <c r="F254" s="14"/>
      <c r="H254" s="14"/>
      <c r="I254" s="14"/>
      <c r="K254" s="14"/>
      <c r="L254" s="14"/>
      <c r="O254" s="9"/>
      <c r="P254" s="9"/>
    </row>
    <row r="255">
      <c r="F255" s="14"/>
      <c r="H255" s="14"/>
      <c r="I255" s="14"/>
      <c r="K255" s="14"/>
      <c r="L255" s="14"/>
      <c r="O255" s="9"/>
      <c r="P255" s="9"/>
    </row>
    <row r="256">
      <c r="F256" s="14"/>
      <c r="H256" s="14"/>
      <c r="I256" s="14"/>
      <c r="K256" s="14"/>
      <c r="L256" s="14"/>
      <c r="O256" s="9"/>
      <c r="P256" s="9"/>
    </row>
    <row r="257">
      <c r="F257" s="14"/>
      <c r="H257" s="14"/>
      <c r="I257" s="14"/>
      <c r="K257" s="14"/>
      <c r="L257" s="14"/>
      <c r="O257" s="9"/>
      <c r="P257" s="9"/>
    </row>
    <row r="258">
      <c r="F258" s="14"/>
      <c r="H258" s="14"/>
      <c r="I258" s="14"/>
      <c r="K258" s="14"/>
      <c r="L258" s="14"/>
      <c r="O258" s="9"/>
      <c r="P258" s="9"/>
    </row>
    <row r="259">
      <c r="F259" s="14"/>
      <c r="H259" s="14"/>
      <c r="I259" s="14"/>
      <c r="K259" s="14"/>
      <c r="L259" s="14"/>
      <c r="O259" s="9"/>
      <c r="P259" s="9"/>
    </row>
    <row r="260">
      <c r="F260" s="14"/>
      <c r="H260" s="14"/>
      <c r="I260" s="14"/>
      <c r="K260" s="14"/>
      <c r="L260" s="14"/>
      <c r="O260" s="9"/>
      <c r="P260" s="9"/>
    </row>
    <row r="261">
      <c r="F261" s="14"/>
      <c r="H261" s="14"/>
      <c r="I261" s="14"/>
      <c r="K261" s="14"/>
      <c r="L261" s="14"/>
      <c r="O261" s="9"/>
      <c r="P261" s="9"/>
    </row>
    <row r="262">
      <c r="F262" s="14"/>
      <c r="H262" s="14"/>
      <c r="I262" s="14"/>
      <c r="K262" s="14"/>
      <c r="L262" s="14"/>
      <c r="O262" s="9"/>
      <c r="P262" s="9"/>
    </row>
    <row r="263">
      <c r="F263" s="14"/>
      <c r="H263" s="14"/>
      <c r="I263" s="14"/>
      <c r="K263" s="14"/>
      <c r="L263" s="14"/>
      <c r="O263" s="9"/>
      <c r="P263" s="9"/>
    </row>
    <row r="264">
      <c r="F264" s="14"/>
      <c r="H264" s="14"/>
      <c r="I264" s="14"/>
      <c r="K264" s="14"/>
      <c r="L264" s="14"/>
      <c r="O264" s="9"/>
      <c r="P264" s="9"/>
    </row>
    <row r="265">
      <c r="F265" s="14"/>
      <c r="H265" s="14"/>
      <c r="I265" s="14"/>
      <c r="K265" s="14"/>
      <c r="L265" s="14"/>
      <c r="O265" s="9"/>
      <c r="P265" s="9"/>
    </row>
    <row r="266">
      <c r="F266" s="14"/>
      <c r="H266" s="14"/>
      <c r="I266" s="14"/>
      <c r="K266" s="14"/>
      <c r="L266" s="14"/>
      <c r="O266" s="9"/>
      <c r="P266" s="9"/>
    </row>
    <row r="267">
      <c r="F267" s="14"/>
      <c r="H267" s="14"/>
      <c r="I267" s="14"/>
      <c r="K267" s="14"/>
      <c r="L267" s="14"/>
      <c r="O267" s="9"/>
      <c r="P267" s="9"/>
    </row>
    <row r="268">
      <c r="F268" s="14"/>
      <c r="H268" s="14"/>
      <c r="I268" s="14"/>
      <c r="K268" s="14"/>
      <c r="L268" s="14"/>
      <c r="O268" s="9"/>
      <c r="P268" s="9"/>
    </row>
    <row r="269">
      <c r="F269" s="14"/>
      <c r="H269" s="14"/>
      <c r="I269" s="14"/>
      <c r="K269" s="14"/>
      <c r="L269" s="14"/>
      <c r="O269" s="9"/>
      <c r="P269" s="9"/>
    </row>
    <row r="270">
      <c r="F270" s="14"/>
      <c r="H270" s="14"/>
      <c r="I270" s="14"/>
      <c r="K270" s="14"/>
      <c r="L270" s="14"/>
      <c r="O270" s="9"/>
      <c r="P270" s="9"/>
    </row>
    <row r="271">
      <c r="F271" s="14"/>
      <c r="H271" s="14"/>
      <c r="I271" s="14"/>
      <c r="K271" s="14"/>
      <c r="L271" s="14"/>
      <c r="O271" s="9"/>
      <c r="P271" s="9"/>
    </row>
    <row r="272">
      <c r="F272" s="14"/>
      <c r="H272" s="14"/>
      <c r="I272" s="14"/>
      <c r="K272" s="14"/>
      <c r="L272" s="14"/>
      <c r="O272" s="9"/>
      <c r="P272" s="9"/>
    </row>
    <row r="273">
      <c r="F273" s="14"/>
      <c r="H273" s="14"/>
      <c r="I273" s="14"/>
      <c r="K273" s="14"/>
      <c r="L273" s="14"/>
      <c r="O273" s="9"/>
      <c r="P273" s="9"/>
    </row>
    <row r="274">
      <c r="F274" s="14"/>
      <c r="H274" s="14"/>
      <c r="I274" s="14"/>
      <c r="K274" s="14"/>
      <c r="L274" s="14"/>
      <c r="O274" s="9"/>
      <c r="P274" s="9"/>
    </row>
    <row r="275">
      <c r="F275" s="14"/>
      <c r="H275" s="14"/>
      <c r="I275" s="14"/>
      <c r="K275" s="14"/>
      <c r="L275" s="14"/>
      <c r="O275" s="9"/>
      <c r="P275" s="9"/>
    </row>
    <row r="276">
      <c r="F276" s="14"/>
      <c r="H276" s="14"/>
      <c r="I276" s="14"/>
      <c r="K276" s="14"/>
      <c r="L276" s="14"/>
      <c r="O276" s="9"/>
      <c r="P276" s="9"/>
    </row>
    <row r="277">
      <c r="F277" s="14"/>
      <c r="H277" s="14"/>
      <c r="I277" s="14"/>
      <c r="K277" s="14"/>
      <c r="L277" s="14"/>
      <c r="O277" s="9"/>
      <c r="P277" s="9"/>
    </row>
    <row r="278">
      <c r="F278" s="14"/>
      <c r="H278" s="14"/>
      <c r="I278" s="14"/>
      <c r="K278" s="14"/>
      <c r="L278" s="14"/>
      <c r="O278" s="9"/>
      <c r="P278" s="9"/>
    </row>
    <row r="279">
      <c r="F279" s="14"/>
      <c r="H279" s="14"/>
      <c r="I279" s="14"/>
      <c r="K279" s="14"/>
      <c r="L279" s="14"/>
      <c r="O279" s="9"/>
      <c r="P279" s="9"/>
    </row>
    <row r="280">
      <c r="F280" s="14"/>
      <c r="H280" s="14"/>
      <c r="I280" s="14"/>
      <c r="K280" s="14"/>
      <c r="L280" s="14"/>
      <c r="O280" s="9"/>
      <c r="P280" s="9"/>
    </row>
    <row r="281">
      <c r="F281" s="14"/>
      <c r="H281" s="14"/>
      <c r="I281" s="14"/>
      <c r="K281" s="14"/>
      <c r="L281" s="14"/>
      <c r="O281" s="9"/>
      <c r="P281" s="9"/>
    </row>
    <row r="282">
      <c r="F282" s="14"/>
      <c r="H282" s="14"/>
      <c r="I282" s="14"/>
      <c r="K282" s="14"/>
      <c r="L282" s="14"/>
      <c r="O282" s="9"/>
      <c r="P282" s="9"/>
    </row>
    <row r="283">
      <c r="F283" s="14"/>
      <c r="H283" s="14"/>
      <c r="I283" s="14"/>
      <c r="K283" s="14"/>
      <c r="L283" s="14"/>
      <c r="O283" s="9"/>
      <c r="P283" s="9"/>
    </row>
    <row r="284">
      <c r="F284" s="14"/>
      <c r="H284" s="14"/>
      <c r="I284" s="14"/>
      <c r="K284" s="14"/>
      <c r="L284" s="14"/>
      <c r="O284" s="9"/>
      <c r="P284" s="9"/>
    </row>
    <row r="285">
      <c r="F285" s="14"/>
      <c r="H285" s="14"/>
      <c r="I285" s="14"/>
      <c r="K285" s="14"/>
      <c r="L285" s="14"/>
      <c r="O285" s="9"/>
      <c r="P285" s="9"/>
    </row>
    <row r="286">
      <c r="F286" s="14"/>
      <c r="H286" s="14"/>
      <c r="I286" s="14"/>
      <c r="K286" s="14"/>
      <c r="L286" s="14"/>
      <c r="O286" s="9"/>
      <c r="P286" s="9"/>
    </row>
    <row r="287">
      <c r="F287" s="14"/>
      <c r="H287" s="14"/>
      <c r="I287" s="14"/>
      <c r="K287" s="14"/>
      <c r="L287" s="14"/>
      <c r="O287" s="9"/>
      <c r="P287" s="9"/>
    </row>
    <row r="288">
      <c r="F288" s="14"/>
      <c r="H288" s="14"/>
      <c r="I288" s="14"/>
      <c r="K288" s="14"/>
      <c r="L288" s="14"/>
      <c r="O288" s="9"/>
      <c r="P288" s="9"/>
    </row>
    <row r="289">
      <c r="F289" s="14"/>
      <c r="H289" s="14"/>
      <c r="I289" s="14"/>
      <c r="K289" s="14"/>
      <c r="L289" s="14"/>
      <c r="O289" s="9"/>
      <c r="P289" s="9"/>
    </row>
    <row r="290">
      <c r="F290" s="14"/>
      <c r="H290" s="14"/>
      <c r="I290" s="14"/>
      <c r="K290" s="14"/>
      <c r="L290" s="14"/>
      <c r="O290" s="9"/>
      <c r="P290" s="9"/>
    </row>
    <row r="291">
      <c r="F291" s="14"/>
      <c r="H291" s="14"/>
      <c r="I291" s="14"/>
      <c r="K291" s="14"/>
      <c r="L291" s="14"/>
      <c r="O291" s="9"/>
      <c r="P291" s="9"/>
    </row>
    <row r="292">
      <c r="F292" s="14"/>
      <c r="H292" s="14"/>
      <c r="I292" s="14"/>
      <c r="K292" s="14"/>
      <c r="L292" s="14"/>
      <c r="O292" s="9"/>
      <c r="P292" s="9"/>
    </row>
    <row r="293">
      <c r="F293" s="14"/>
      <c r="H293" s="14"/>
      <c r="I293" s="14"/>
      <c r="K293" s="14"/>
      <c r="L293" s="14"/>
      <c r="O293" s="9"/>
      <c r="P293" s="9"/>
    </row>
    <row r="294">
      <c r="F294" s="14"/>
      <c r="H294" s="14"/>
      <c r="I294" s="14"/>
      <c r="K294" s="14"/>
      <c r="L294" s="14"/>
      <c r="O294" s="9"/>
      <c r="P294" s="9"/>
    </row>
    <row r="295">
      <c r="F295" s="14"/>
      <c r="H295" s="14"/>
      <c r="I295" s="14"/>
      <c r="K295" s="14"/>
      <c r="L295" s="14"/>
      <c r="O295" s="9"/>
      <c r="P295" s="9"/>
    </row>
    <row r="296">
      <c r="F296" s="14"/>
      <c r="H296" s="14"/>
      <c r="I296" s="14"/>
      <c r="K296" s="14"/>
      <c r="L296" s="14"/>
      <c r="O296" s="9"/>
      <c r="P296" s="9"/>
    </row>
    <row r="297">
      <c r="F297" s="14"/>
      <c r="H297" s="14"/>
      <c r="I297" s="14"/>
      <c r="K297" s="14"/>
      <c r="L297" s="14"/>
      <c r="O297" s="9"/>
      <c r="P297" s="9"/>
    </row>
    <row r="298">
      <c r="F298" s="14"/>
      <c r="H298" s="14"/>
      <c r="I298" s="14"/>
      <c r="K298" s="14"/>
      <c r="L298" s="14"/>
      <c r="O298" s="9"/>
      <c r="P298" s="9"/>
    </row>
    <row r="299">
      <c r="F299" s="14"/>
      <c r="H299" s="14"/>
      <c r="I299" s="14"/>
      <c r="K299" s="14"/>
      <c r="L299" s="14"/>
      <c r="O299" s="9"/>
      <c r="P299" s="9"/>
    </row>
    <row r="300">
      <c r="F300" s="14"/>
      <c r="H300" s="14"/>
      <c r="I300" s="14"/>
      <c r="K300" s="14"/>
      <c r="L300" s="14"/>
      <c r="O300" s="9"/>
      <c r="P300" s="9"/>
    </row>
    <row r="301">
      <c r="F301" s="14"/>
      <c r="H301" s="14"/>
      <c r="I301" s="14"/>
      <c r="K301" s="14"/>
      <c r="L301" s="14"/>
      <c r="O301" s="9"/>
      <c r="P301" s="9"/>
    </row>
    <row r="302">
      <c r="F302" s="14"/>
      <c r="H302" s="14"/>
      <c r="I302" s="14"/>
      <c r="K302" s="14"/>
      <c r="L302" s="14"/>
      <c r="O302" s="9"/>
      <c r="P302" s="9"/>
    </row>
    <row r="303">
      <c r="F303" s="14"/>
      <c r="H303" s="14"/>
      <c r="I303" s="14"/>
      <c r="K303" s="14"/>
      <c r="L303" s="14"/>
      <c r="O303" s="9"/>
      <c r="P303" s="9"/>
    </row>
    <row r="304">
      <c r="F304" s="14"/>
      <c r="H304" s="14"/>
      <c r="I304" s="14"/>
      <c r="K304" s="14"/>
      <c r="L304" s="14"/>
      <c r="O304" s="9"/>
      <c r="P304" s="9"/>
    </row>
    <row r="305">
      <c r="F305" s="14"/>
      <c r="H305" s="14"/>
      <c r="I305" s="14"/>
      <c r="K305" s="14"/>
      <c r="L305" s="14"/>
      <c r="O305" s="9"/>
      <c r="P305" s="9"/>
    </row>
    <row r="306">
      <c r="F306" s="14"/>
      <c r="H306" s="14"/>
      <c r="I306" s="14"/>
      <c r="K306" s="14"/>
      <c r="L306" s="14"/>
      <c r="O306" s="9"/>
      <c r="P306" s="9"/>
    </row>
    <row r="307">
      <c r="F307" s="14"/>
      <c r="H307" s="14"/>
      <c r="I307" s="14"/>
      <c r="K307" s="14"/>
      <c r="L307" s="14"/>
      <c r="O307" s="9"/>
      <c r="P307" s="9"/>
    </row>
    <row r="308">
      <c r="F308" s="14"/>
      <c r="H308" s="14"/>
      <c r="I308" s="14"/>
      <c r="K308" s="14"/>
      <c r="L308" s="14"/>
      <c r="O308" s="9"/>
      <c r="P308" s="9"/>
    </row>
    <row r="309">
      <c r="F309" s="14"/>
      <c r="H309" s="14"/>
      <c r="I309" s="14"/>
      <c r="K309" s="14"/>
      <c r="L309" s="14"/>
      <c r="O309" s="9"/>
      <c r="P309" s="9"/>
    </row>
    <row r="310">
      <c r="F310" s="14"/>
      <c r="H310" s="14"/>
      <c r="I310" s="14"/>
      <c r="K310" s="14"/>
      <c r="L310" s="14"/>
      <c r="O310" s="9"/>
      <c r="P310" s="9"/>
    </row>
    <row r="311">
      <c r="F311" s="14"/>
      <c r="H311" s="14"/>
      <c r="I311" s="14"/>
      <c r="K311" s="14"/>
      <c r="L311" s="14"/>
      <c r="O311" s="9"/>
      <c r="P311" s="9"/>
    </row>
    <row r="312">
      <c r="F312" s="14"/>
      <c r="H312" s="14"/>
      <c r="I312" s="14"/>
      <c r="K312" s="14"/>
      <c r="L312" s="14"/>
      <c r="O312" s="9"/>
      <c r="P312" s="9"/>
    </row>
    <row r="313">
      <c r="F313" s="14"/>
      <c r="H313" s="14"/>
      <c r="I313" s="14"/>
      <c r="K313" s="14"/>
      <c r="L313" s="14"/>
      <c r="O313" s="9"/>
      <c r="P313" s="9"/>
    </row>
    <row r="314">
      <c r="F314" s="14"/>
      <c r="H314" s="14"/>
      <c r="I314" s="14"/>
      <c r="K314" s="14"/>
      <c r="L314" s="14"/>
      <c r="O314" s="9"/>
      <c r="P314" s="9"/>
    </row>
    <row r="315">
      <c r="F315" s="14"/>
      <c r="H315" s="14"/>
      <c r="I315" s="14"/>
      <c r="K315" s="14"/>
      <c r="L315" s="14"/>
      <c r="O315" s="9"/>
      <c r="P315" s="9"/>
    </row>
    <row r="316">
      <c r="F316" s="14"/>
      <c r="H316" s="14"/>
      <c r="I316" s="14"/>
      <c r="K316" s="14"/>
      <c r="L316" s="14"/>
      <c r="O316" s="9"/>
      <c r="P316" s="9"/>
    </row>
    <row r="317">
      <c r="F317" s="14"/>
      <c r="H317" s="14"/>
      <c r="I317" s="14"/>
      <c r="K317" s="14"/>
      <c r="L317" s="14"/>
      <c r="O317" s="9"/>
      <c r="P317" s="9"/>
    </row>
    <row r="318">
      <c r="F318" s="14"/>
      <c r="H318" s="14"/>
      <c r="I318" s="14"/>
      <c r="K318" s="14"/>
      <c r="L318" s="14"/>
      <c r="O318" s="9"/>
      <c r="P318" s="9"/>
    </row>
    <row r="319">
      <c r="F319" s="14"/>
      <c r="H319" s="14"/>
      <c r="I319" s="14"/>
      <c r="K319" s="14"/>
      <c r="L319" s="14"/>
      <c r="O319" s="9"/>
      <c r="P319" s="9"/>
    </row>
    <row r="320">
      <c r="F320" s="14"/>
      <c r="H320" s="14"/>
      <c r="I320" s="14"/>
      <c r="K320" s="14"/>
      <c r="L320" s="14"/>
      <c r="O320" s="9"/>
      <c r="P320" s="9"/>
    </row>
    <row r="321">
      <c r="F321" s="14"/>
      <c r="H321" s="14"/>
      <c r="I321" s="14"/>
      <c r="K321" s="14"/>
      <c r="L321" s="14"/>
      <c r="O321" s="9"/>
      <c r="P321" s="9"/>
    </row>
    <row r="322">
      <c r="F322" s="14"/>
      <c r="H322" s="14"/>
      <c r="I322" s="14"/>
      <c r="K322" s="14"/>
      <c r="L322" s="14"/>
      <c r="O322" s="9"/>
      <c r="P322" s="9"/>
    </row>
    <row r="323">
      <c r="F323" s="14"/>
      <c r="H323" s="14"/>
      <c r="I323" s="14"/>
      <c r="K323" s="14"/>
      <c r="L323" s="14"/>
      <c r="O323" s="9"/>
      <c r="P323" s="9"/>
    </row>
    <row r="324">
      <c r="F324" s="14"/>
      <c r="H324" s="14"/>
      <c r="I324" s="14"/>
      <c r="K324" s="14"/>
      <c r="L324" s="14"/>
      <c r="O324" s="9"/>
      <c r="P324" s="9"/>
    </row>
    <row r="325">
      <c r="F325" s="14"/>
      <c r="H325" s="14"/>
      <c r="I325" s="14"/>
      <c r="K325" s="14"/>
      <c r="L325" s="14"/>
      <c r="O325" s="9"/>
      <c r="P325" s="9"/>
    </row>
    <row r="326">
      <c r="F326" s="14"/>
      <c r="H326" s="14"/>
      <c r="I326" s="14"/>
      <c r="K326" s="14"/>
      <c r="L326" s="14"/>
      <c r="O326" s="9"/>
      <c r="P326" s="9"/>
    </row>
    <row r="327">
      <c r="F327" s="14"/>
      <c r="H327" s="14"/>
      <c r="I327" s="14"/>
      <c r="K327" s="14"/>
      <c r="L327" s="14"/>
      <c r="O327" s="9"/>
      <c r="P327" s="9"/>
    </row>
    <row r="328">
      <c r="F328" s="14"/>
      <c r="H328" s="14"/>
      <c r="I328" s="14"/>
      <c r="K328" s="14"/>
      <c r="L328" s="14"/>
      <c r="O328" s="9"/>
      <c r="P328" s="9"/>
    </row>
    <row r="329">
      <c r="F329" s="14"/>
      <c r="H329" s="14"/>
      <c r="I329" s="14"/>
      <c r="K329" s="14"/>
      <c r="L329" s="14"/>
      <c r="O329" s="9"/>
      <c r="P329" s="9"/>
    </row>
    <row r="330">
      <c r="F330" s="14"/>
      <c r="H330" s="14"/>
      <c r="I330" s="14"/>
      <c r="K330" s="14"/>
      <c r="L330" s="14"/>
      <c r="O330" s="9"/>
      <c r="P330" s="9"/>
    </row>
    <row r="331">
      <c r="F331" s="14"/>
      <c r="H331" s="14"/>
      <c r="I331" s="14"/>
      <c r="K331" s="14"/>
      <c r="L331" s="14"/>
      <c r="O331" s="9"/>
      <c r="P331" s="9"/>
    </row>
    <row r="332">
      <c r="F332" s="14"/>
      <c r="H332" s="14"/>
      <c r="I332" s="14"/>
      <c r="K332" s="14"/>
      <c r="L332" s="14"/>
      <c r="O332" s="9"/>
      <c r="P332" s="9"/>
    </row>
    <row r="333">
      <c r="F333" s="14"/>
      <c r="H333" s="14"/>
      <c r="I333" s="14"/>
      <c r="K333" s="14"/>
      <c r="L333" s="14"/>
      <c r="O333" s="9"/>
      <c r="P333" s="9"/>
    </row>
    <row r="334">
      <c r="F334" s="14"/>
      <c r="H334" s="14"/>
      <c r="I334" s="14"/>
      <c r="K334" s="14"/>
      <c r="L334" s="14"/>
      <c r="O334" s="9"/>
      <c r="P334" s="9"/>
    </row>
    <row r="335">
      <c r="F335" s="14"/>
      <c r="H335" s="14"/>
      <c r="I335" s="14"/>
      <c r="K335" s="14"/>
      <c r="L335" s="14"/>
      <c r="O335" s="9"/>
      <c r="P335" s="9"/>
    </row>
    <row r="336">
      <c r="F336" s="14"/>
      <c r="H336" s="14"/>
      <c r="I336" s="14"/>
      <c r="K336" s="14"/>
      <c r="L336" s="14"/>
      <c r="O336" s="9"/>
      <c r="P336" s="9"/>
    </row>
    <row r="337">
      <c r="F337" s="14"/>
      <c r="H337" s="14"/>
      <c r="I337" s="14"/>
      <c r="K337" s="14"/>
      <c r="L337" s="14"/>
      <c r="O337" s="9"/>
      <c r="P337" s="9"/>
    </row>
    <row r="338">
      <c r="F338" s="14"/>
      <c r="H338" s="14"/>
      <c r="I338" s="14"/>
      <c r="K338" s="14"/>
      <c r="L338" s="14"/>
      <c r="O338" s="9"/>
      <c r="P338" s="9"/>
    </row>
    <row r="339">
      <c r="F339" s="14"/>
      <c r="H339" s="14"/>
      <c r="I339" s="14"/>
      <c r="K339" s="14"/>
      <c r="L339" s="14"/>
      <c r="O339" s="9"/>
      <c r="P339" s="9"/>
    </row>
    <row r="340">
      <c r="F340" s="14"/>
      <c r="H340" s="14"/>
      <c r="I340" s="14"/>
      <c r="K340" s="14"/>
      <c r="L340" s="14"/>
      <c r="O340" s="9"/>
      <c r="P340" s="9"/>
    </row>
    <row r="341">
      <c r="F341" s="14"/>
      <c r="H341" s="14"/>
      <c r="I341" s="14"/>
      <c r="K341" s="14"/>
      <c r="L341" s="14"/>
      <c r="O341" s="9"/>
      <c r="P341" s="9"/>
    </row>
    <row r="342">
      <c r="F342" s="14"/>
      <c r="H342" s="14"/>
      <c r="I342" s="14"/>
      <c r="K342" s="14"/>
      <c r="L342" s="14"/>
      <c r="O342" s="9"/>
      <c r="P342" s="9"/>
    </row>
    <row r="343">
      <c r="F343" s="14"/>
      <c r="H343" s="14"/>
      <c r="I343" s="14"/>
      <c r="K343" s="14"/>
      <c r="L343" s="14"/>
      <c r="O343" s="9"/>
      <c r="P343" s="9"/>
    </row>
    <row r="344">
      <c r="F344" s="14"/>
      <c r="H344" s="14"/>
      <c r="I344" s="14"/>
      <c r="K344" s="14"/>
      <c r="L344" s="14"/>
      <c r="O344" s="9"/>
      <c r="P344" s="9"/>
    </row>
    <row r="345">
      <c r="F345" s="14"/>
      <c r="H345" s="14"/>
      <c r="I345" s="14"/>
      <c r="K345" s="14"/>
      <c r="L345" s="14"/>
      <c r="O345" s="9"/>
      <c r="P345" s="9"/>
    </row>
    <row r="346">
      <c r="F346" s="14"/>
      <c r="H346" s="14"/>
      <c r="I346" s="14"/>
      <c r="K346" s="14"/>
      <c r="L346" s="14"/>
      <c r="O346" s="9"/>
      <c r="P346" s="9"/>
    </row>
    <row r="347">
      <c r="F347" s="14"/>
      <c r="H347" s="14"/>
      <c r="I347" s="14"/>
      <c r="K347" s="14"/>
      <c r="L347" s="14"/>
      <c r="O347" s="9"/>
      <c r="P347" s="9"/>
    </row>
    <row r="348">
      <c r="F348" s="14"/>
      <c r="H348" s="14"/>
      <c r="I348" s="14"/>
      <c r="K348" s="14"/>
      <c r="L348" s="14"/>
      <c r="O348" s="9"/>
      <c r="P348" s="9"/>
    </row>
    <row r="349">
      <c r="F349" s="14"/>
      <c r="H349" s="14"/>
      <c r="I349" s="14"/>
      <c r="K349" s="14"/>
      <c r="L349" s="14"/>
      <c r="O349" s="9"/>
      <c r="P349" s="9"/>
    </row>
    <row r="350">
      <c r="F350" s="14"/>
      <c r="H350" s="14"/>
      <c r="I350" s="14"/>
      <c r="K350" s="14"/>
      <c r="L350" s="14"/>
      <c r="O350" s="9"/>
      <c r="P350" s="9"/>
    </row>
    <row r="351">
      <c r="F351" s="14"/>
      <c r="H351" s="14"/>
      <c r="I351" s="14"/>
      <c r="K351" s="14"/>
      <c r="L351" s="14"/>
      <c r="O351" s="9"/>
      <c r="P351" s="9"/>
    </row>
    <row r="352">
      <c r="F352" s="14"/>
      <c r="H352" s="14"/>
      <c r="I352" s="14"/>
      <c r="K352" s="14"/>
      <c r="L352" s="14"/>
      <c r="O352" s="9"/>
      <c r="P352" s="9"/>
    </row>
    <row r="353">
      <c r="F353" s="14"/>
      <c r="H353" s="14"/>
      <c r="I353" s="14"/>
      <c r="K353" s="14"/>
      <c r="L353" s="14"/>
      <c r="O353" s="9"/>
      <c r="P353" s="9"/>
    </row>
    <row r="354">
      <c r="F354" s="14"/>
      <c r="H354" s="14"/>
      <c r="I354" s="14"/>
      <c r="K354" s="14"/>
      <c r="L354" s="14"/>
      <c r="O354" s="9"/>
      <c r="P354" s="9"/>
    </row>
    <row r="355">
      <c r="F355" s="14"/>
      <c r="H355" s="14"/>
      <c r="I355" s="14"/>
      <c r="K355" s="14"/>
      <c r="L355" s="14"/>
      <c r="O355" s="9"/>
      <c r="P355" s="9"/>
    </row>
    <row r="356">
      <c r="F356" s="14"/>
      <c r="H356" s="14"/>
      <c r="I356" s="14"/>
      <c r="K356" s="14"/>
      <c r="L356" s="14"/>
      <c r="O356" s="9"/>
      <c r="P356" s="9"/>
    </row>
    <row r="357">
      <c r="F357" s="14"/>
      <c r="H357" s="14"/>
      <c r="I357" s="14"/>
      <c r="K357" s="14"/>
      <c r="L357" s="14"/>
      <c r="O357" s="9"/>
      <c r="P357" s="9"/>
    </row>
    <row r="358">
      <c r="F358" s="14"/>
      <c r="H358" s="14"/>
      <c r="I358" s="14"/>
      <c r="K358" s="14"/>
      <c r="L358" s="14"/>
      <c r="O358" s="9"/>
      <c r="P358" s="9"/>
    </row>
    <row r="359">
      <c r="F359" s="14"/>
      <c r="H359" s="14"/>
      <c r="I359" s="14"/>
      <c r="K359" s="14"/>
      <c r="L359" s="14"/>
      <c r="O359" s="9"/>
      <c r="P359" s="9"/>
    </row>
    <row r="360">
      <c r="F360" s="14"/>
      <c r="H360" s="14"/>
      <c r="I360" s="14"/>
      <c r="K360" s="14"/>
      <c r="L360" s="14"/>
      <c r="O360" s="9"/>
      <c r="P360" s="9"/>
    </row>
    <row r="361">
      <c r="F361" s="14"/>
      <c r="H361" s="14"/>
      <c r="I361" s="14"/>
      <c r="K361" s="14"/>
      <c r="L361" s="14"/>
      <c r="O361" s="9"/>
      <c r="P361" s="9"/>
    </row>
    <row r="362">
      <c r="F362" s="14"/>
      <c r="H362" s="14"/>
      <c r="I362" s="14"/>
      <c r="K362" s="14"/>
      <c r="L362" s="14"/>
      <c r="O362" s="9"/>
      <c r="P362" s="9"/>
    </row>
    <row r="363">
      <c r="F363" s="14"/>
      <c r="H363" s="14"/>
      <c r="I363" s="14"/>
      <c r="K363" s="14"/>
      <c r="L363" s="14"/>
      <c r="O363" s="9"/>
      <c r="P363" s="9"/>
    </row>
    <row r="364">
      <c r="F364" s="14"/>
      <c r="H364" s="14"/>
      <c r="I364" s="14"/>
      <c r="K364" s="14"/>
      <c r="L364" s="14"/>
      <c r="O364" s="9"/>
      <c r="P364" s="9"/>
    </row>
    <row r="365">
      <c r="F365" s="14"/>
      <c r="H365" s="14"/>
      <c r="I365" s="14"/>
      <c r="K365" s="14"/>
      <c r="L365" s="14"/>
      <c r="O365" s="9"/>
      <c r="P365" s="9"/>
    </row>
    <row r="366">
      <c r="F366" s="14"/>
      <c r="H366" s="14"/>
      <c r="I366" s="14"/>
      <c r="K366" s="14"/>
      <c r="L366" s="14"/>
      <c r="O366" s="9"/>
      <c r="P366" s="9"/>
    </row>
    <row r="367">
      <c r="F367" s="14"/>
      <c r="H367" s="14"/>
      <c r="I367" s="14"/>
      <c r="K367" s="14"/>
      <c r="L367" s="14"/>
      <c r="O367" s="9"/>
      <c r="P367" s="9"/>
    </row>
    <row r="368">
      <c r="F368" s="14"/>
      <c r="H368" s="14"/>
      <c r="I368" s="14"/>
      <c r="K368" s="14"/>
      <c r="L368" s="14"/>
      <c r="O368" s="9"/>
      <c r="P368" s="9"/>
    </row>
    <row r="369">
      <c r="F369" s="14"/>
      <c r="H369" s="14"/>
      <c r="I369" s="14"/>
      <c r="K369" s="14"/>
      <c r="L369" s="14"/>
      <c r="O369" s="9"/>
      <c r="P369" s="9"/>
    </row>
    <row r="370">
      <c r="F370" s="14"/>
      <c r="H370" s="14"/>
      <c r="I370" s="14"/>
      <c r="K370" s="14"/>
      <c r="L370" s="14"/>
      <c r="O370" s="9"/>
      <c r="P370" s="9"/>
    </row>
    <row r="371">
      <c r="F371" s="14"/>
      <c r="H371" s="14"/>
      <c r="I371" s="14"/>
      <c r="K371" s="14"/>
      <c r="L371" s="14"/>
      <c r="O371" s="9"/>
      <c r="P371" s="9"/>
    </row>
    <row r="372">
      <c r="F372" s="14"/>
      <c r="H372" s="14"/>
      <c r="I372" s="14"/>
      <c r="K372" s="14"/>
      <c r="L372" s="14"/>
      <c r="O372" s="9"/>
      <c r="P372" s="9"/>
    </row>
    <row r="373">
      <c r="F373" s="14"/>
      <c r="H373" s="14"/>
      <c r="I373" s="14"/>
      <c r="K373" s="14"/>
      <c r="L373" s="14"/>
      <c r="O373" s="9"/>
      <c r="P373" s="9"/>
    </row>
    <row r="374">
      <c r="F374" s="14"/>
      <c r="H374" s="14"/>
      <c r="I374" s="14"/>
      <c r="K374" s="14"/>
      <c r="L374" s="14"/>
      <c r="O374" s="9"/>
      <c r="P374" s="9"/>
    </row>
    <row r="375">
      <c r="F375" s="14"/>
      <c r="H375" s="14"/>
      <c r="I375" s="14"/>
      <c r="K375" s="14"/>
      <c r="L375" s="14"/>
      <c r="O375" s="9"/>
      <c r="P375" s="9"/>
    </row>
    <row r="376">
      <c r="F376" s="14"/>
      <c r="H376" s="14"/>
      <c r="I376" s="14"/>
      <c r="K376" s="14"/>
      <c r="L376" s="14"/>
      <c r="O376" s="9"/>
      <c r="P376" s="9"/>
    </row>
    <row r="377">
      <c r="F377" s="14"/>
      <c r="H377" s="14"/>
      <c r="I377" s="14"/>
      <c r="K377" s="14"/>
      <c r="L377" s="14"/>
      <c r="O377" s="9"/>
      <c r="P377" s="9"/>
    </row>
    <row r="378">
      <c r="F378" s="14"/>
      <c r="H378" s="14"/>
      <c r="I378" s="14"/>
      <c r="K378" s="14"/>
      <c r="L378" s="14"/>
      <c r="O378" s="9"/>
      <c r="P378" s="9"/>
    </row>
    <row r="379">
      <c r="F379" s="14"/>
      <c r="H379" s="14"/>
      <c r="I379" s="14"/>
      <c r="K379" s="14"/>
      <c r="L379" s="14"/>
      <c r="O379" s="9"/>
      <c r="P379" s="9"/>
    </row>
    <row r="380">
      <c r="F380" s="14"/>
      <c r="H380" s="14"/>
      <c r="I380" s="14"/>
      <c r="K380" s="14"/>
      <c r="L380" s="14"/>
      <c r="O380" s="9"/>
      <c r="P380" s="9"/>
    </row>
    <row r="381">
      <c r="F381" s="14"/>
      <c r="H381" s="14"/>
      <c r="I381" s="14"/>
      <c r="K381" s="14"/>
      <c r="L381" s="14"/>
      <c r="O381" s="9"/>
      <c r="P381" s="9"/>
    </row>
    <row r="382">
      <c r="F382" s="14"/>
      <c r="H382" s="14"/>
      <c r="I382" s="14"/>
      <c r="K382" s="14"/>
      <c r="L382" s="14"/>
      <c r="O382" s="9"/>
      <c r="P382" s="9"/>
    </row>
    <row r="383">
      <c r="F383" s="14"/>
      <c r="H383" s="14"/>
      <c r="I383" s="14"/>
      <c r="K383" s="14"/>
      <c r="L383" s="14"/>
      <c r="O383" s="9"/>
      <c r="P383" s="9"/>
    </row>
    <row r="384">
      <c r="F384" s="14"/>
      <c r="H384" s="14"/>
      <c r="I384" s="14"/>
      <c r="K384" s="14"/>
      <c r="L384" s="14"/>
      <c r="O384" s="9"/>
      <c r="P384" s="9"/>
    </row>
    <row r="385">
      <c r="F385" s="14"/>
      <c r="H385" s="14"/>
      <c r="I385" s="14"/>
      <c r="K385" s="14"/>
      <c r="L385" s="14"/>
      <c r="O385" s="9"/>
      <c r="P385" s="9"/>
    </row>
    <row r="386">
      <c r="F386" s="14"/>
      <c r="H386" s="14"/>
      <c r="I386" s="14"/>
      <c r="K386" s="14"/>
      <c r="L386" s="14"/>
      <c r="O386" s="9"/>
      <c r="P386" s="9"/>
    </row>
    <row r="387">
      <c r="F387" s="14"/>
      <c r="H387" s="14"/>
      <c r="I387" s="14"/>
      <c r="K387" s="14"/>
      <c r="L387" s="14"/>
      <c r="O387" s="9"/>
      <c r="P387" s="9"/>
    </row>
    <row r="388">
      <c r="F388" s="14"/>
      <c r="H388" s="14"/>
      <c r="I388" s="14"/>
      <c r="K388" s="14"/>
      <c r="L388" s="14"/>
      <c r="O388" s="9"/>
      <c r="P388" s="9"/>
    </row>
    <row r="389">
      <c r="F389" s="14"/>
      <c r="H389" s="14"/>
      <c r="I389" s="14"/>
      <c r="K389" s="14"/>
      <c r="L389" s="14"/>
      <c r="O389" s="9"/>
      <c r="P389" s="9"/>
    </row>
    <row r="390">
      <c r="F390" s="14"/>
      <c r="H390" s="14"/>
      <c r="I390" s="14"/>
      <c r="K390" s="14"/>
      <c r="L390" s="14"/>
      <c r="O390" s="9"/>
      <c r="P390" s="9"/>
    </row>
    <row r="391">
      <c r="F391" s="14"/>
      <c r="H391" s="14"/>
      <c r="I391" s="14"/>
      <c r="K391" s="14"/>
      <c r="L391" s="14"/>
      <c r="O391" s="9"/>
      <c r="P391" s="9"/>
    </row>
    <row r="392">
      <c r="F392" s="14"/>
      <c r="H392" s="14"/>
      <c r="I392" s="14"/>
      <c r="K392" s="14"/>
      <c r="L392" s="14"/>
      <c r="O392" s="9"/>
      <c r="P392" s="9"/>
    </row>
    <row r="393">
      <c r="F393" s="14"/>
      <c r="H393" s="14"/>
      <c r="I393" s="14"/>
      <c r="K393" s="14"/>
      <c r="L393" s="14"/>
      <c r="O393" s="9"/>
      <c r="P393" s="9"/>
    </row>
    <row r="394">
      <c r="F394" s="14"/>
      <c r="H394" s="14"/>
      <c r="I394" s="14"/>
      <c r="K394" s="14"/>
      <c r="L394" s="14"/>
      <c r="O394" s="9"/>
      <c r="P394" s="9"/>
    </row>
    <row r="395">
      <c r="F395" s="14"/>
      <c r="H395" s="14"/>
      <c r="I395" s="14"/>
      <c r="K395" s="14"/>
      <c r="L395" s="14"/>
      <c r="O395" s="9"/>
      <c r="P395" s="9"/>
    </row>
    <row r="396">
      <c r="F396" s="14"/>
      <c r="H396" s="14"/>
      <c r="I396" s="14"/>
      <c r="K396" s="14"/>
      <c r="L396" s="14"/>
      <c r="O396" s="9"/>
      <c r="P396" s="9"/>
    </row>
    <row r="397">
      <c r="F397" s="14"/>
      <c r="H397" s="14"/>
      <c r="I397" s="14"/>
      <c r="K397" s="14"/>
      <c r="L397" s="14"/>
      <c r="O397" s="9"/>
      <c r="P397" s="9"/>
    </row>
    <row r="398">
      <c r="F398" s="14"/>
      <c r="H398" s="14"/>
      <c r="I398" s="14"/>
      <c r="K398" s="14"/>
      <c r="L398" s="14"/>
      <c r="O398" s="9"/>
      <c r="P398" s="9"/>
    </row>
    <row r="399">
      <c r="F399" s="14"/>
      <c r="H399" s="14"/>
      <c r="I399" s="14"/>
      <c r="K399" s="14"/>
      <c r="L399" s="14"/>
      <c r="O399" s="9"/>
      <c r="P399" s="9"/>
    </row>
    <row r="400">
      <c r="F400" s="14"/>
      <c r="H400" s="14"/>
      <c r="I400" s="14"/>
      <c r="K400" s="14"/>
      <c r="L400" s="14"/>
      <c r="O400" s="9"/>
      <c r="P400" s="9"/>
    </row>
    <row r="401">
      <c r="F401" s="14"/>
      <c r="H401" s="14"/>
      <c r="I401" s="14"/>
      <c r="K401" s="14"/>
      <c r="L401" s="14"/>
      <c r="O401" s="9"/>
      <c r="P401" s="9"/>
    </row>
    <row r="402">
      <c r="F402" s="14"/>
      <c r="H402" s="14"/>
      <c r="I402" s="14"/>
      <c r="K402" s="14"/>
      <c r="L402" s="14"/>
      <c r="O402" s="9"/>
      <c r="P402" s="9"/>
    </row>
    <row r="403">
      <c r="F403" s="14"/>
      <c r="H403" s="14"/>
      <c r="I403" s="14"/>
      <c r="K403" s="14"/>
      <c r="L403" s="14"/>
      <c r="O403" s="9"/>
      <c r="P403" s="9"/>
    </row>
    <row r="404">
      <c r="F404" s="14"/>
      <c r="H404" s="14"/>
      <c r="I404" s="14"/>
      <c r="K404" s="14"/>
      <c r="L404" s="14"/>
      <c r="O404" s="9"/>
      <c r="P404" s="9"/>
    </row>
    <row r="405">
      <c r="F405" s="14"/>
      <c r="H405" s="14"/>
      <c r="I405" s="14"/>
      <c r="K405" s="14"/>
      <c r="L405" s="14"/>
      <c r="O405" s="9"/>
      <c r="P405" s="9"/>
    </row>
    <row r="406">
      <c r="F406" s="14"/>
      <c r="H406" s="14"/>
      <c r="I406" s="14"/>
      <c r="K406" s="14"/>
      <c r="L406" s="14"/>
      <c r="O406" s="9"/>
      <c r="P406" s="9"/>
    </row>
    <row r="407">
      <c r="F407" s="14"/>
      <c r="H407" s="14"/>
      <c r="I407" s="14"/>
      <c r="K407" s="14"/>
      <c r="L407" s="14"/>
      <c r="O407" s="9"/>
      <c r="P407" s="9"/>
    </row>
    <row r="408">
      <c r="F408" s="14"/>
      <c r="H408" s="14"/>
      <c r="I408" s="14"/>
      <c r="K408" s="14"/>
      <c r="L408" s="14"/>
      <c r="O408" s="9"/>
      <c r="P408" s="9"/>
    </row>
    <row r="409">
      <c r="F409" s="14"/>
      <c r="H409" s="14"/>
      <c r="I409" s="14"/>
      <c r="K409" s="14"/>
      <c r="L409" s="14"/>
      <c r="O409" s="9"/>
      <c r="P409" s="9"/>
    </row>
    <row r="410">
      <c r="F410" s="14"/>
      <c r="H410" s="14"/>
      <c r="I410" s="14"/>
      <c r="K410" s="14"/>
      <c r="L410" s="14"/>
      <c r="O410" s="9"/>
      <c r="P410" s="9"/>
    </row>
    <row r="411">
      <c r="F411" s="14"/>
      <c r="H411" s="14"/>
      <c r="I411" s="14"/>
      <c r="K411" s="14"/>
      <c r="L411" s="14"/>
      <c r="O411" s="9"/>
      <c r="P411" s="9"/>
    </row>
    <row r="412">
      <c r="F412" s="14"/>
      <c r="H412" s="14"/>
      <c r="I412" s="14"/>
      <c r="K412" s="14"/>
      <c r="L412" s="14"/>
      <c r="O412" s="9"/>
      <c r="P412" s="9"/>
    </row>
    <row r="413">
      <c r="F413" s="14"/>
      <c r="H413" s="14"/>
      <c r="I413" s="14"/>
      <c r="K413" s="14"/>
      <c r="L413" s="14"/>
      <c r="O413" s="9"/>
      <c r="P413" s="9"/>
    </row>
    <row r="414">
      <c r="F414" s="14"/>
      <c r="H414" s="14"/>
      <c r="I414" s="14"/>
      <c r="K414" s="14"/>
      <c r="L414" s="14"/>
      <c r="O414" s="9"/>
      <c r="P414" s="9"/>
    </row>
    <row r="415">
      <c r="F415" s="14"/>
      <c r="H415" s="14"/>
      <c r="I415" s="14"/>
      <c r="K415" s="14"/>
      <c r="L415" s="14"/>
      <c r="O415" s="9"/>
      <c r="P415" s="9"/>
    </row>
    <row r="416">
      <c r="F416" s="14"/>
      <c r="H416" s="14"/>
      <c r="I416" s="14"/>
      <c r="K416" s="14"/>
      <c r="L416" s="14"/>
      <c r="O416" s="9"/>
      <c r="P416" s="9"/>
    </row>
    <row r="417">
      <c r="F417" s="14"/>
      <c r="H417" s="14"/>
      <c r="I417" s="14"/>
      <c r="K417" s="14"/>
      <c r="L417" s="14"/>
      <c r="O417" s="9"/>
      <c r="P417" s="9"/>
    </row>
    <row r="418">
      <c r="F418" s="14"/>
      <c r="H418" s="14"/>
      <c r="I418" s="14"/>
      <c r="K418" s="14"/>
      <c r="L418" s="14"/>
      <c r="O418" s="9"/>
      <c r="P418" s="9"/>
    </row>
    <row r="419">
      <c r="F419" s="14"/>
      <c r="H419" s="14"/>
      <c r="I419" s="14"/>
      <c r="K419" s="14"/>
      <c r="L419" s="14"/>
      <c r="O419" s="9"/>
      <c r="P419" s="9"/>
    </row>
    <row r="420">
      <c r="F420" s="14"/>
      <c r="H420" s="14"/>
      <c r="I420" s="14"/>
      <c r="K420" s="14"/>
      <c r="L420" s="14"/>
      <c r="O420" s="9"/>
      <c r="P420" s="9"/>
    </row>
    <row r="421">
      <c r="F421" s="14"/>
      <c r="H421" s="14"/>
      <c r="I421" s="14"/>
      <c r="K421" s="14"/>
      <c r="L421" s="14"/>
      <c r="O421" s="9"/>
      <c r="P421" s="9"/>
    </row>
    <row r="422">
      <c r="F422" s="14"/>
      <c r="H422" s="14"/>
      <c r="I422" s="14"/>
      <c r="K422" s="14"/>
      <c r="L422" s="14"/>
      <c r="O422" s="9"/>
      <c r="P422" s="9"/>
    </row>
    <row r="423">
      <c r="F423" s="14"/>
      <c r="H423" s="14"/>
      <c r="I423" s="14"/>
      <c r="K423" s="14"/>
      <c r="L423" s="14"/>
      <c r="O423" s="9"/>
      <c r="P423" s="9"/>
    </row>
    <row r="424">
      <c r="F424" s="14"/>
      <c r="H424" s="14"/>
      <c r="I424" s="14"/>
      <c r="K424" s="14"/>
      <c r="L424" s="14"/>
      <c r="O424" s="9"/>
      <c r="P424" s="9"/>
    </row>
    <row r="425">
      <c r="F425" s="14"/>
      <c r="H425" s="14"/>
      <c r="I425" s="14"/>
      <c r="K425" s="14"/>
      <c r="L425" s="14"/>
      <c r="O425" s="9"/>
      <c r="P425" s="9"/>
    </row>
    <row r="426">
      <c r="F426" s="14"/>
      <c r="H426" s="14"/>
      <c r="I426" s="14"/>
      <c r="K426" s="14"/>
      <c r="L426" s="14"/>
      <c r="O426" s="9"/>
      <c r="P426" s="9"/>
    </row>
    <row r="427">
      <c r="F427" s="14"/>
      <c r="H427" s="14"/>
      <c r="I427" s="14"/>
      <c r="K427" s="14"/>
      <c r="L427" s="14"/>
      <c r="O427" s="9"/>
      <c r="P427" s="9"/>
    </row>
    <row r="428">
      <c r="F428" s="14"/>
      <c r="H428" s="14"/>
      <c r="I428" s="14"/>
      <c r="K428" s="14"/>
      <c r="L428" s="14"/>
      <c r="O428" s="9"/>
      <c r="P428" s="9"/>
    </row>
    <row r="429">
      <c r="F429" s="14"/>
      <c r="H429" s="14"/>
      <c r="I429" s="14"/>
      <c r="K429" s="14"/>
      <c r="L429" s="14"/>
      <c r="O429" s="9"/>
      <c r="P429" s="9"/>
    </row>
    <row r="430">
      <c r="F430" s="14"/>
      <c r="H430" s="14"/>
      <c r="I430" s="14"/>
      <c r="K430" s="14"/>
      <c r="L430" s="14"/>
      <c r="O430" s="9"/>
      <c r="P430" s="9"/>
    </row>
    <row r="431">
      <c r="F431" s="14"/>
      <c r="H431" s="14"/>
      <c r="I431" s="14"/>
      <c r="K431" s="14"/>
      <c r="L431" s="14"/>
      <c r="O431" s="9"/>
      <c r="P431" s="9"/>
    </row>
    <row r="432">
      <c r="F432" s="14"/>
      <c r="H432" s="14"/>
      <c r="I432" s="14"/>
      <c r="K432" s="14"/>
      <c r="L432" s="14"/>
      <c r="O432" s="9"/>
      <c r="P432" s="9"/>
    </row>
    <row r="433">
      <c r="F433" s="14"/>
      <c r="H433" s="14"/>
      <c r="I433" s="14"/>
      <c r="K433" s="14"/>
      <c r="L433" s="14"/>
      <c r="O433" s="9"/>
      <c r="P433" s="9"/>
    </row>
    <row r="434">
      <c r="F434" s="14"/>
      <c r="H434" s="14"/>
      <c r="I434" s="14"/>
      <c r="K434" s="14"/>
      <c r="L434" s="14"/>
      <c r="O434" s="9"/>
      <c r="P434" s="9"/>
    </row>
    <row r="435">
      <c r="F435" s="14"/>
      <c r="H435" s="14"/>
      <c r="I435" s="14"/>
      <c r="K435" s="14"/>
      <c r="L435" s="14"/>
      <c r="O435" s="9"/>
      <c r="P435" s="9"/>
    </row>
    <row r="436">
      <c r="F436" s="14"/>
      <c r="H436" s="14"/>
      <c r="I436" s="14"/>
      <c r="K436" s="14"/>
      <c r="L436" s="14"/>
      <c r="O436" s="9"/>
      <c r="P436" s="9"/>
    </row>
    <row r="437">
      <c r="F437" s="14"/>
      <c r="H437" s="14"/>
      <c r="I437" s="14"/>
      <c r="K437" s="14"/>
      <c r="L437" s="14"/>
      <c r="O437" s="9"/>
      <c r="P437" s="9"/>
    </row>
    <row r="438">
      <c r="F438" s="14"/>
      <c r="H438" s="14"/>
      <c r="I438" s="14"/>
      <c r="K438" s="14"/>
      <c r="L438" s="14"/>
      <c r="O438" s="9"/>
      <c r="P438" s="9"/>
    </row>
    <row r="439">
      <c r="F439" s="14"/>
      <c r="H439" s="14"/>
      <c r="I439" s="14"/>
      <c r="K439" s="14"/>
      <c r="L439" s="14"/>
      <c r="O439" s="9"/>
      <c r="P439" s="9"/>
    </row>
    <row r="440">
      <c r="F440" s="14"/>
      <c r="H440" s="14"/>
      <c r="I440" s="14"/>
      <c r="K440" s="14"/>
      <c r="L440" s="14"/>
      <c r="O440" s="9"/>
      <c r="P440" s="9"/>
    </row>
    <row r="441">
      <c r="F441" s="14"/>
      <c r="H441" s="14"/>
      <c r="I441" s="14"/>
      <c r="K441" s="14"/>
      <c r="L441" s="14"/>
      <c r="O441" s="9"/>
      <c r="P441" s="9"/>
    </row>
    <row r="442">
      <c r="F442" s="14"/>
      <c r="H442" s="14"/>
      <c r="I442" s="14"/>
      <c r="K442" s="14"/>
      <c r="L442" s="14"/>
      <c r="O442" s="9"/>
      <c r="P442" s="9"/>
    </row>
    <row r="443">
      <c r="F443" s="14"/>
      <c r="H443" s="14"/>
      <c r="I443" s="14"/>
      <c r="K443" s="14"/>
      <c r="L443" s="14"/>
      <c r="O443" s="9"/>
      <c r="P443" s="9"/>
    </row>
    <row r="444">
      <c r="F444" s="14"/>
      <c r="H444" s="14"/>
      <c r="I444" s="14"/>
      <c r="K444" s="14"/>
      <c r="L444" s="14"/>
      <c r="O444" s="9"/>
      <c r="P444" s="9"/>
    </row>
    <row r="445">
      <c r="F445" s="14"/>
      <c r="H445" s="14"/>
      <c r="I445" s="14"/>
      <c r="K445" s="14"/>
      <c r="L445" s="14"/>
      <c r="O445" s="9"/>
      <c r="P445" s="9"/>
    </row>
    <row r="446">
      <c r="F446" s="14"/>
      <c r="H446" s="14"/>
      <c r="I446" s="14"/>
      <c r="K446" s="14"/>
      <c r="L446" s="14"/>
      <c r="O446" s="9"/>
      <c r="P446" s="9"/>
    </row>
    <row r="447">
      <c r="F447" s="14"/>
      <c r="H447" s="14"/>
      <c r="I447" s="14"/>
      <c r="K447" s="14"/>
      <c r="L447" s="14"/>
      <c r="O447" s="9"/>
      <c r="P447" s="9"/>
    </row>
    <row r="448">
      <c r="F448" s="14"/>
      <c r="H448" s="14"/>
      <c r="I448" s="14"/>
      <c r="K448" s="14"/>
      <c r="L448" s="14"/>
      <c r="O448" s="9"/>
      <c r="P448" s="9"/>
    </row>
    <row r="449">
      <c r="F449" s="14"/>
      <c r="H449" s="14"/>
      <c r="I449" s="14"/>
      <c r="K449" s="14"/>
      <c r="L449" s="14"/>
      <c r="O449" s="9"/>
      <c r="P449" s="9"/>
    </row>
    <row r="450">
      <c r="F450" s="14"/>
      <c r="H450" s="14"/>
      <c r="I450" s="14"/>
      <c r="K450" s="14"/>
      <c r="L450" s="14"/>
      <c r="O450" s="9"/>
      <c r="P450" s="9"/>
    </row>
    <row r="451">
      <c r="F451" s="14"/>
      <c r="H451" s="14"/>
      <c r="I451" s="14"/>
      <c r="K451" s="14"/>
      <c r="L451" s="14"/>
      <c r="O451" s="9"/>
      <c r="P451" s="9"/>
    </row>
    <row r="452">
      <c r="F452" s="14"/>
      <c r="H452" s="14"/>
      <c r="I452" s="14"/>
      <c r="K452" s="14"/>
      <c r="L452" s="14"/>
      <c r="O452" s="9"/>
      <c r="P452" s="9"/>
    </row>
    <row r="453">
      <c r="F453" s="14"/>
      <c r="H453" s="14"/>
      <c r="I453" s="14"/>
      <c r="K453" s="14"/>
      <c r="L453" s="14"/>
      <c r="O453" s="9"/>
      <c r="P453" s="9"/>
    </row>
    <row r="454">
      <c r="F454" s="14"/>
      <c r="H454" s="14"/>
      <c r="I454" s="14"/>
      <c r="K454" s="14"/>
      <c r="L454" s="14"/>
      <c r="O454" s="9"/>
      <c r="P454" s="9"/>
    </row>
    <row r="455">
      <c r="F455" s="14"/>
      <c r="H455" s="14"/>
      <c r="I455" s="14"/>
      <c r="K455" s="14"/>
      <c r="L455" s="14"/>
      <c r="O455" s="9"/>
      <c r="P455" s="9"/>
    </row>
    <row r="456">
      <c r="F456" s="14"/>
      <c r="H456" s="14"/>
      <c r="I456" s="14"/>
      <c r="K456" s="14"/>
      <c r="L456" s="14"/>
      <c r="O456" s="9"/>
      <c r="P456" s="9"/>
    </row>
    <row r="457">
      <c r="F457" s="14"/>
      <c r="H457" s="14"/>
      <c r="I457" s="14"/>
      <c r="K457" s="14"/>
      <c r="L457" s="14"/>
      <c r="O457" s="9"/>
      <c r="P457" s="9"/>
    </row>
    <row r="458">
      <c r="F458" s="14"/>
      <c r="H458" s="14"/>
      <c r="I458" s="14"/>
      <c r="K458" s="14"/>
      <c r="L458" s="14"/>
      <c r="O458" s="9"/>
      <c r="P458" s="9"/>
    </row>
    <row r="459">
      <c r="F459" s="14"/>
      <c r="H459" s="14"/>
      <c r="I459" s="14"/>
      <c r="K459" s="14"/>
      <c r="L459" s="14"/>
      <c r="O459" s="9"/>
      <c r="P459" s="9"/>
    </row>
    <row r="460">
      <c r="F460" s="14"/>
      <c r="H460" s="14"/>
      <c r="I460" s="14"/>
      <c r="K460" s="14"/>
      <c r="L460" s="14"/>
      <c r="O460" s="9"/>
      <c r="P460" s="9"/>
    </row>
    <row r="461">
      <c r="F461" s="14"/>
      <c r="H461" s="14"/>
      <c r="I461" s="14"/>
      <c r="K461" s="14"/>
      <c r="L461" s="14"/>
      <c r="O461" s="9"/>
      <c r="P461" s="9"/>
    </row>
    <row r="462">
      <c r="F462" s="14"/>
      <c r="H462" s="14"/>
      <c r="I462" s="14"/>
      <c r="K462" s="14"/>
      <c r="L462" s="14"/>
      <c r="O462" s="9"/>
      <c r="P462" s="9"/>
    </row>
    <row r="463">
      <c r="F463" s="14"/>
      <c r="H463" s="14"/>
      <c r="I463" s="14"/>
      <c r="K463" s="14"/>
      <c r="L463" s="14"/>
      <c r="O463" s="9"/>
      <c r="P463" s="9"/>
    </row>
    <row r="464">
      <c r="F464" s="14"/>
      <c r="H464" s="14"/>
      <c r="I464" s="14"/>
      <c r="K464" s="14"/>
      <c r="L464" s="14"/>
      <c r="O464" s="9"/>
      <c r="P464" s="9"/>
    </row>
    <row r="465">
      <c r="F465" s="14"/>
      <c r="H465" s="14"/>
      <c r="I465" s="14"/>
      <c r="K465" s="14"/>
      <c r="L465" s="14"/>
      <c r="O465" s="9"/>
      <c r="P465" s="9"/>
    </row>
    <row r="466">
      <c r="F466" s="14"/>
      <c r="H466" s="14"/>
      <c r="I466" s="14"/>
      <c r="K466" s="14"/>
      <c r="L466" s="14"/>
      <c r="O466" s="9"/>
      <c r="P466" s="9"/>
    </row>
    <row r="467">
      <c r="F467" s="14"/>
      <c r="H467" s="14"/>
      <c r="I467" s="14"/>
      <c r="K467" s="14"/>
      <c r="L467" s="14"/>
      <c r="O467" s="9"/>
      <c r="P467" s="9"/>
    </row>
    <row r="468">
      <c r="F468" s="14"/>
      <c r="H468" s="14"/>
      <c r="I468" s="14"/>
      <c r="K468" s="14"/>
      <c r="L468" s="14"/>
      <c r="O468" s="9"/>
      <c r="P468" s="9"/>
    </row>
    <row r="469">
      <c r="F469" s="14"/>
      <c r="H469" s="14"/>
      <c r="I469" s="14"/>
      <c r="K469" s="14"/>
      <c r="L469" s="14"/>
      <c r="O469" s="9"/>
      <c r="P469" s="9"/>
    </row>
    <row r="470">
      <c r="F470" s="14"/>
      <c r="H470" s="14"/>
      <c r="I470" s="14"/>
      <c r="K470" s="14"/>
      <c r="L470" s="14"/>
      <c r="O470" s="9"/>
      <c r="P470" s="9"/>
    </row>
    <row r="471">
      <c r="F471" s="14"/>
      <c r="H471" s="14"/>
      <c r="I471" s="14"/>
      <c r="K471" s="14"/>
      <c r="L471" s="14"/>
      <c r="O471" s="9"/>
      <c r="P471" s="9"/>
    </row>
    <row r="472">
      <c r="F472" s="14"/>
      <c r="H472" s="14"/>
      <c r="I472" s="14"/>
      <c r="K472" s="14"/>
      <c r="L472" s="14"/>
      <c r="O472" s="9"/>
      <c r="P472" s="9"/>
    </row>
    <row r="473">
      <c r="F473" s="14"/>
      <c r="H473" s="14"/>
      <c r="I473" s="14"/>
      <c r="K473" s="14"/>
      <c r="L473" s="14"/>
      <c r="O473" s="9"/>
      <c r="P473" s="9"/>
    </row>
    <row r="474">
      <c r="F474" s="14"/>
      <c r="H474" s="14"/>
      <c r="I474" s="14"/>
      <c r="K474" s="14"/>
      <c r="L474" s="14"/>
      <c r="O474" s="9"/>
      <c r="P474" s="9"/>
    </row>
    <row r="475">
      <c r="F475" s="14"/>
      <c r="H475" s="14"/>
      <c r="I475" s="14"/>
      <c r="K475" s="14"/>
      <c r="L475" s="14"/>
      <c r="O475" s="9"/>
      <c r="P475" s="9"/>
    </row>
    <row r="476">
      <c r="F476" s="14"/>
      <c r="H476" s="14"/>
      <c r="I476" s="14"/>
      <c r="K476" s="14"/>
      <c r="L476" s="14"/>
      <c r="O476" s="9"/>
      <c r="P476" s="9"/>
    </row>
    <row r="477">
      <c r="F477" s="14"/>
      <c r="H477" s="14"/>
      <c r="I477" s="14"/>
      <c r="K477" s="14"/>
      <c r="L477" s="14"/>
      <c r="O477" s="9"/>
      <c r="P477" s="9"/>
    </row>
    <row r="478">
      <c r="F478" s="14"/>
      <c r="H478" s="14"/>
      <c r="I478" s="14"/>
      <c r="K478" s="14"/>
      <c r="L478" s="14"/>
      <c r="O478" s="9"/>
      <c r="P478" s="9"/>
    </row>
    <row r="479">
      <c r="F479" s="14"/>
      <c r="H479" s="14"/>
      <c r="I479" s="14"/>
      <c r="K479" s="14"/>
      <c r="L479" s="14"/>
      <c r="O479" s="9"/>
      <c r="P479" s="9"/>
    </row>
    <row r="480">
      <c r="F480" s="14"/>
      <c r="H480" s="14"/>
      <c r="I480" s="14"/>
      <c r="K480" s="14"/>
      <c r="L480" s="14"/>
      <c r="O480" s="9"/>
      <c r="P480" s="9"/>
    </row>
    <row r="481">
      <c r="F481" s="14"/>
      <c r="H481" s="14"/>
      <c r="I481" s="14"/>
      <c r="K481" s="14"/>
      <c r="L481" s="14"/>
      <c r="O481" s="9"/>
      <c r="P481" s="9"/>
    </row>
    <row r="482">
      <c r="F482" s="14"/>
      <c r="H482" s="14"/>
      <c r="I482" s="14"/>
      <c r="K482" s="14"/>
      <c r="L482" s="14"/>
      <c r="O482" s="9"/>
      <c r="P482" s="9"/>
    </row>
    <row r="483">
      <c r="F483" s="14"/>
      <c r="H483" s="14"/>
      <c r="I483" s="14"/>
      <c r="K483" s="14"/>
      <c r="L483" s="14"/>
      <c r="O483" s="9"/>
      <c r="P483" s="9"/>
    </row>
    <row r="484">
      <c r="F484" s="14"/>
      <c r="H484" s="14"/>
      <c r="I484" s="14"/>
      <c r="K484" s="14"/>
      <c r="L484" s="14"/>
      <c r="O484" s="9"/>
      <c r="P484" s="9"/>
    </row>
    <row r="485">
      <c r="F485" s="14"/>
      <c r="H485" s="14"/>
      <c r="I485" s="14"/>
      <c r="K485" s="14"/>
      <c r="L485" s="14"/>
      <c r="O485" s="9"/>
      <c r="P485" s="9"/>
    </row>
    <row r="486">
      <c r="F486" s="14"/>
      <c r="H486" s="14"/>
      <c r="I486" s="14"/>
      <c r="K486" s="14"/>
      <c r="L486" s="14"/>
      <c r="O486" s="9"/>
      <c r="P486" s="9"/>
    </row>
    <row r="487">
      <c r="F487" s="14"/>
      <c r="H487" s="14"/>
      <c r="I487" s="14"/>
      <c r="K487" s="14"/>
      <c r="L487" s="14"/>
      <c r="O487" s="9"/>
      <c r="P487" s="9"/>
    </row>
    <row r="488">
      <c r="F488" s="14"/>
      <c r="H488" s="14"/>
      <c r="I488" s="14"/>
      <c r="K488" s="14"/>
      <c r="L488" s="14"/>
      <c r="O488" s="9"/>
      <c r="P488" s="9"/>
    </row>
    <row r="489">
      <c r="F489" s="14"/>
      <c r="H489" s="14"/>
      <c r="I489" s="14"/>
      <c r="K489" s="14"/>
      <c r="L489" s="14"/>
      <c r="O489" s="9"/>
      <c r="P489" s="9"/>
    </row>
    <row r="490">
      <c r="F490" s="14"/>
      <c r="H490" s="14"/>
      <c r="I490" s="14"/>
      <c r="K490" s="14"/>
      <c r="L490" s="14"/>
      <c r="O490" s="9"/>
      <c r="P490" s="9"/>
    </row>
    <row r="491">
      <c r="F491" s="14"/>
      <c r="H491" s="14"/>
      <c r="I491" s="14"/>
      <c r="K491" s="14"/>
      <c r="L491" s="14"/>
      <c r="O491" s="9"/>
      <c r="P491" s="9"/>
    </row>
    <row r="492">
      <c r="F492" s="14"/>
      <c r="H492" s="14"/>
      <c r="I492" s="14"/>
      <c r="K492" s="14"/>
      <c r="L492" s="14"/>
      <c r="O492" s="9"/>
      <c r="P492" s="9"/>
    </row>
    <row r="493">
      <c r="F493" s="14"/>
      <c r="H493" s="14"/>
      <c r="I493" s="14"/>
      <c r="K493" s="14"/>
      <c r="L493" s="14"/>
      <c r="O493" s="9"/>
      <c r="P493" s="9"/>
    </row>
    <row r="494">
      <c r="F494" s="14"/>
      <c r="H494" s="14"/>
      <c r="I494" s="14"/>
      <c r="K494" s="14"/>
      <c r="L494" s="14"/>
      <c r="O494" s="9"/>
      <c r="P494" s="9"/>
    </row>
    <row r="495">
      <c r="F495" s="14"/>
      <c r="H495" s="14"/>
      <c r="I495" s="14"/>
      <c r="K495" s="14"/>
      <c r="L495" s="14"/>
      <c r="O495" s="9"/>
      <c r="P495" s="9"/>
    </row>
    <row r="496">
      <c r="F496" s="14"/>
      <c r="H496" s="14"/>
      <c r="I496" s="14"/>
      <c r="K496" s="14"/>
      <c r="L496" s="14"/>
      <c r="O496" s="9"/>
      <c r="P496" s="9"/>
    </row>
    <row r="497">
      <c r="F497" s="14"/>
      <c r="H497" s="14"/>
      <c r="I497" s="14"/>
      <c r="K497" s="14"/>
      <c r="L497" s="14"/>
      <c r="O497" s="9"/>
      <c r="P497" s="9"/>
    </row>
    <row r="498">
      <c r="F498" s="14"/>
      <c r="H498" s="14"/>
      <c r="I498" s="14"/>
      <c r="K498" s="14"/>
      <c r="L498" s="14"/>
      <c r="O498" s="9"/>
      <c r="P498" s="9"/>
    </row>
    <row r="499">
      <c r="F499" s="14"/>
      <c r="H499" s="14"/>
      <c r="I499" s="14"/>
      <c r="K499" s="14"/>
      <c r="L499" s="14"/>
      <c r="O499" s="9"/>
      <c r="P499" s="9"/>
    </row>
    <row r="500">
      <c r="F500" s="14"/>
      <c r="H500" s="14"/>
      <c r="I500" s="14"/>
      <c r="K500" s="14"/>
      <c r="L500" s="14"/>
      <c r="O500" s="9"/>
      <c r="P500" s="9"/>
    </row>
    <row r="501">
      <c r="F501" s="14"/>
      <c r="H501" s="14"/>
      <c r="I501" s="14"/>
      <c r="K501" s="14"/>
      <c r="L501" s="14"/>
      <c r="O501" s="9"/>
      <c r="P501" s="9"/>
    </row>
    <row r="502">
      <c r="F502" s="14"/>
      <c r="H502" s="14"/>
      <c r="I502" s="14"/>
      <c r="K502" s="14"/>
      <c r="L502" s="14"/>
      <c r="O502" s="9"/>
      <c r="P502" s="9"/>
    </row>
    <row r="503">
      <c r="F503" s="14"/>
      <c r="H503" s="14"/>
      <c r="I503" s="14"/>
      <c r="K503" s="14"/>
      <c r="L503" s="14"/>
      <c r="O503" s="9"/>
      <c r="P503" s="9"/>
    </row>
    <row r="504">
      <c r="F504" s="14"/>
      <c r="H504" s="14"/>
      <c r="I504" s="14"/>
      <c r="K504" s="14"/>
      <c r="L504" s="14"/>
      <c r="O504" s="9"/>
      <c r="P504" s="9"/>
    </row>
    <row r="505">
      <c r="F505" s="14"/>
      <c r="H505" s="14"/>
      <c r="I505" s="14"/>
      <c r="K505" s="14"/>
      <c r="L505" s="14"/>
      <c r="O505" s="9"/>
      <c r="P505" s="9"/>
    </row>
    <row r="506">
      <c r="F506" s="14"/>
      <c r="H506" s="14"/>
      <c r="I506" s="14"/>
      <c r="K506" s="14"/>
      <c r="L506" s="14"/>
      <c r="O506" s="9"/>
      <c r="P506" s="9"/>
    </row>
    <row r="507">
      <c r="F507" s="14"/>
      <c r="H507" s="14"/>
      <c r="I507" s="14"/>
      <c r="K507" s="14"/>
      <c r="L507" s="14"/>
      <c r="O507" s="9"/>
      <c r="P507" s="9"/>
    </row>
    <row r="508">
      <c r="F508" s="14"/>
      <c r="H508" s="14"/>
      <c r="I508" s="14"/>
      <c r="K508" s="14"/>
      <c r="L508" s="14"/>
      <c r="O508" s="9"/>
      <c r="P508" s="9"/>
    </row>
    <row r="509">
      <c r="F509" s="14"/>
      <c r="H509" s="14"/>
      <c r="I509" s="14"/>
      <c r="K509" s="14"/>
      <c r="L509" s="14"/>
      <c r="O509" s="9"/>
      <c r="P509" s="9"/>
    </row>
    <row r="510">
      <c r="F510" s="14"/>
      <c r="H510" s="14"/>
      <c r="I510" s="14"/>
      <c r="K510" s="14"/>
      <c r="L510" s="14"/>
      <c r="O510" s="9"/>
      <c r="P510" s="9"/>
    </row>
    <row r="511">
      <c r="F511" s="14"/>
      <c r="H511" s="14"/>
      <c r="I511" s="14"/>
      <c r="K511" s="14"/>
      <c r="L511" s="14"/>
      <c r="O511" s="9"/>
      <c r="P511" s="9"/>
    </row>
    <row r="512">
      <c r="F512" s="14"/>
      <c r="H512" s="14"/>
      <c r="I512" s="14"/>
      <c r="K512" s="14"/>
      <c r="L512" s="14"/>
      <c r="O512" s="9"/>
      <c r="P512" s="9"/>
    </row>
    <row r="513">
      <c r="F513" s="14"/>
      <c r="H513" s="14"/>
      <c r="I513" s="14"/>
      <c r="K513" s="14"/>
      <c r="L513" s="14"/>
      <c r="O513" s="9"/>
      <c r="P513" s="9"/>
    </row>
    <row r="514">
      <c r="F514" s="14"/>
      <c r="H514" s="14"/>
      <c r="I514" s="14"/>
      <c r="K514" s="14"/>
      <c r="L514" s="14"/>
      <c r="O514" s="9"/>
      <c r="P514" s="9"/>
    </row>
    <row r="515">
      <c r="F515" s="14"/>
      <c r="H515" s="14"/>
      <c r="I515" s="14"/>
      <c r="K515" s="14"/>
      <c r="L515" s="14"/>
      <c r="O515" s="9"/>
      <c r="P515" s="9"/>
    </row>
    <row r="516">
      <c r="F516" s="14"/>
      <c r="H516" s="14"/>
      <c r="I516" s="14"/>
      <c r="K516" s="14"/>
      <c r="L516" s="14"/>
      <c r="O516" s="9"/>
      <c r="P516" s="9"/>
    </row>
    <row r="517">
      <c r="F517" s="14"/>
      <c r="H517" s="14"/>
      <c r="I517" s="14"/>
      <c r="K517" s="14"/>
      <c r="L517" s="14"/>
      <c r="O517" s="9"/>
      <c r="P517" s="9"/>
    </row>
    <row r="518">
      <c r="F518" s="14"/>
      <c r="H518" s="14"/>
      <c r="I518" s="14"/>
      <c r="K518" s="14"/>
      <c r="L518" s="14"/>
      <c r="O518" s="9"/>
      <c r="P518" s="9"/>
    </row>
    <row r="519">
      <c r="F519" s="14"/>
      <c r="H519" s="14"/>
      <c r="I519" s="14"/>
      <c r="K519" s="14"/>
      <c r="L519" s="14"/>
      <c r="O519" s="9"/>
      <c r="P519" s="9"/>
    </row>
    <row r="520">
      <c r="F520" s="14"/>
      <c r="H520" s="14"/>
      <c r="I520" s="14"/>
      <c r="K520" s="14"/>
      <c r="L520" s="14"/>
      <c r="O520" s="9"/>
      <c r="P520" s="9"/>
    </row>
    <row r="521">
      <c r="F521" s="14"/>
      <c r="H521" s="14"/>
      <c r="I521" s="14"/>
      <c r="K521" s="14"/>
      <c r="L521" s="14"/>
      <c r="O521" s="9"/>
      <c r="P521" s="9"/>
    </row>
    <row r="522">
      <c r="F522" s="14"/>
      <c r="H522" s="14"/>
      <c r="I522" s="14"/>
      <c r="K522" s="14"/>
      <c r="L522" s="14"/>
      <c r="O522" s="9"/>
      <c r="P522" s="9"/>
    </row>
    <row r="523">
      <c r="F523" s="14"/>
      <c r="H523" s="14"/>
      <c r="I523" s="14"/>
      <c r="K523" s="14"/>
      <c r="L523" s="14"/>
      <c r="O523" s="9"/>
      <c r="P523" s="9"/>
    </row>
    <row r="524">
      <c r="F524" s="14"/>
      <c r="H524" s="14"/>
      <c r="I524" s="14"/>
      <c r="K524" s="14"/>
      <c r="L524" s="14"/>
      <c r="O524" s="9"/>
      <c r="P524" s="9"/>
    </row>
    <row r="525">
      <c r="F525" s="14"/>
      <c r="H525" s="14"/>
      <c r="I525" s="14"/>
      <c r="K525" s="14"/>
      <c r="L525" s="14"/>
      <c r="O525" s="9"/>
      <c r="P525" s="9"/>
    </row>
    <row r="526">
      <c r="F526" s="14"/>
      <c r="H526" s="14"/>
      <c r="I526" s="14"/>
      <c r="K526" s="14"/>
      <c r="L526" s="14"/>
      <c r="O526" s="9"/>
      <c r="P526" s="9"/>
    </row>
    <row r="527">
      <c r="F527" s="14"/>
      <c r="H527" s="14"/>
      <c r="I527" s="14"/>
      <c r="K527" s="14"/>
      <c r="L527" s="14"/>
      <c r="O527" s="9"/>
      <c r="P527" s="9"/>
    </row>
    <row r="528">
      <c r="F528" s="14"/>
      <c r="H528" s="14"/>
      <c r="I528" s="14"/>
      <c r="K528" s="14"/>
      <c r="L528" s="14"/>
      <c r="O528" s="9"/>
      <c r="P528" s="9"/>
    </row>
    <row r="529">
      <c r="F529" s="14"/>
      <c r="H529" s="14"/>
      <c r="I529" s="14"/>
      <c r="K529" s="14"/>
      <c r="L529" s="14"/>
      <c r="O529" s="9"/>
      <c r="P529" s="9"/>
    </row>
    <row r="530">
      <c r="F530" s="14"/>
      <c r="H530" s="14"/>
      <c r="I530" s="14"/>
      <c r="K530" s="14"/>
      <c r="L530" s="14"/>
      <c r="O530" s="9"/>
      <c r="P530" s="9"/>
    </row>
    <row r="531">
      <c r="F531" s="14"/>
      <c r="H531" s="14"/>
      <c r="I531" s="14"/>
      <c r="K531" s="14"/>
      <c r="L531" s="14"/>
      <c r="O531" s="9"/>
      <c r="P531" s="9"/>
    </row>
    <row r="532">
      <c r="F532" s="14"/>
      <c r="H532" s="14"/>
      <c r="I532" s="14"/>
      <c r="K532" s="14"/>
      <c r="L532" s="14"/>
      <c r="O532" s="9"/>
      <c r="P532" s="9"/>
    </row>
    <row r="533">
      <c r="F533" s="14"/>
      <c r="H533" s="14"/>
      <c r="I533" s="14"/>
      <c r="K533" s="14"/>
      <c r="L533" s="14"/>
      <c r="O533" s="9"/>
      <c r="P533" s="9"/>
    </row>
    <row r="534">
      <c r="F534" s="14"/>
      <c r="H534" s="14"/>
      <c r="I534" s="14"/>
      <c r="K534" s="14"/>
      <c r="L534" s="14"/>
      <c r="O534" s="9"/>
      <c r="P534" s="9"/>
    </row>
    <row r="535">
      <c r="F535" s="14"/>
      <c r="H535" s="14"/>
      <c r="I535" s="14"/>
      <c r="K535" s="14"/>
      <c r="L535" s="14"/>
      <c r="O535" s="9"/>
      <c r="P535" s="9"/>
    </row>
    <row r="536">
      <c r="F536" s="14"/>
      <c r="H536" s="14"/>
      <c r="I536" s="14"/>
      <c r="K536" s="14"/>
      <c r="L536" s="14"/>
      <c r="O536" s="9"/>
      <c r="P536" s="9"/>
    </row>
    <row r="537">
      <c r="F537" s="14"/>
      <c r="H537" s="14"/>
      <c r="I537" s="14"/>
      <c r="K537" s="14"/>
      <c r="L537" s="14"/>
      <c r="O537" s="9"/>
      <c r="P537" s="9"/>
    </row>
    <row r="538">
      <c r="F538" s="14"/>
      <c r="H538" s="14"/>
      <c r="I538" s="14"/>
      <c r="K538" s="14"/>
      <c r="L538" s="14"/>
      <c r="O538" s="9"/>
      <c r="P538" s="9"/>
    </row>
    <row r="539">
      <c r="F539" s="14"/>
      <c r="H539" s="14"/>
      <c r="I539" s="14"/>
      <c r="K539" s="14"/>
      <c r="L539" s="14"/>
      <c r="O539" s="9"/>
      <c r="P539" s="9"/>
    </row>
    <row r="540">
      <c r="F540" s="14"/>
      <c r="H540" s="14"/>
      <c r="I540" s="14"/>
      <c r="K540" s="14"/>
      <c r="L540" s="14"/>
      <c r="O540" s="9"/>
      <c r="P540" s="9"/>
    </row>
    <row r="541">
      <c r="F541" s="14"/>
      <c r="H541" s="14"/>
      <c r="I541" s="14"/>
      <c r="K541" s="14"/>
      <c r="L541" s="14"/>
      <c r="O541" s="9"/>
      <c r="P541" s="9"/>
    </row>
    <row r="542">
      <c r="F542" s="14"/>
      <c r="H542" s="14"/>
      <c r="I542" s="14"/>
      <c r="K542" s="14"/>
      <c r="L542" s="14"/>
      <c r="O542" s="9"/>
      <c r="P542" s="9"/>
    </row>
    <row r="543">
      <c r="F543" s="14"/>
      <c r="H543" s="14"/>
      <c r="I543" s="14"/>
      <c r="K543" s="14"/>
      <c r="L543" s="14"/>
      <c r="O543" s="9"/>
      <c r="P543" s="9"/>
    </row>
    <row r="544">
      <c r="F544" s="14"/>
      <c r="H544" s="14"/>
      <c r="I544" s="14"/>
      <c r="K544" s="14"/>
      <c r="L544" s="14"/>
      <c r="O544" s="9"/>
      <c r="P544" s="9"/>
    </row>
    <row r="545">
      <c r="F545" s="14"/>
      <c r="H545" s="14"/>
      <c r="I545" s="14"/>
      <c r="K545" s="14"/>
      <c r="L545" s="14"/>
      <c r="O545" s="9"/>
      <c r="P545" s="9"/>
    </row>
    <row r="546">
      <c r="F546" s="14"/>
      <c r="H546" s="14"/>
      <c r="I546" s="14"/>
      <c r="K546" s="14"/>
      <c r="L546" s="14"/>
      <c r="O546" s="9"/>
      <c r="P546" s="9"/>
    </row>
    <row r="547">
      <c r="F547" s="14"/>
      <c r="H547" s="14"/>
      <c r="I547" s="14"/>
      <c r="K547" s="14"/>
      <c r="L547" s="14"/>
      <c r="O547" s="9"/>
      <c r="P547" s="9"/>
    </row>
    <row r="548">
      <c r="F548" s="14"/>
      <c r="H548" s="14"/>
      <c r="I548" s="14"/>
      <c r="K548" s="14"/>
      <c r="L548" s="14"/>
      <c r="O548" s="9"/>
      <c r="P548" s="9"/>
    </row>
    <row r="549">
      <c r="F549" s="14"/>
      <c r="H549" s="14"/>
      <c r="I549" s="14"/>
      <c r="K549" s="14"/>
      <c r="L549" s="14"/>
      <c r="O549" s="9"/>
      <c r="P549" s="9"/>
    </row>
    <row r="550">
      <c r="F550" s="14"/>
      <c r="H550" s="14"/>
      <c r="I550" s="14"/>
      <c r="K550" s="14"/>
      <c r="L550" s="14"/>
      <c r="O550" s="9"/>
      <c r="P550" s="9"/>
    </row>
    <row r="551">
      <c r="F551" s="14"/>
      <c r="H551" s="14"/>
      <c r="I551" s="14"/>
      <c r="K551" s="14"/>
      <c r="L551" s="14"/>
      <c r="O551" s="9"/>
      <c r="P551" s="9"/>
    </row>
    <row r="552">
      <c r="F552" s="14"/>
      <c r="H552" s="14"/>
      <c r="I552" s="14"/>
      <c r="K552" s="14"/>
      <c r="L552" s="14"/>
      <c r="O552" s="9"/>
      <c r="P552" s="9"/>
    </row>
    <row r="553">
      <c r="F553" s="14"/>
      <c r="H553" s="14"/>
      <c r="I553" s="14"/>
      <c r="K553" s="14"/>
      <c r="L553" s="14"/>
      <c r="O553" s="9"/>
      <c r="P553" s="9"/>
    </row>
    <row r="554">
      <c r="F554" s="14"/>
      <c r="H554" s="14"/>
      <c r="I554" s="14"/>
      <c r="K554" s="14"/>
      <c r="L554" s="14"/>
      <c r="O554" s="9"/>
      <c r="P554" s="9"/>
    </row>
    <row r="555">
      <c r="F555" s="14"/>
      <c r="H555" s="14"/>
      <c r="I555" s="14"/>
      <c r="K555" s="14"/>
      <c r="L555" s="14"/>
      <c r="O555" s="9"/>
      <c r="P555" s="9"/>
    </row>
    <row r="556">
      <c r="F556" s="14"/>
      <c r="H556" s="14"/>
      <c r="I556" s="14"/>
      <c r="K556" s="14"/>
      <c r="L556" s="14"/>
      <c r="O556" s="9"/>
      <c r="P556" s="9"/>
    </row>
    <row r="557">
      <c r="F557" s="14"/>
      <c r="H557" s="14"/>
      <c r="I557" s="14"/>
      <c r="K557" s="14"/>
      <c r="L557" s="14"/>
      <c r="O557" s="9"/>
      <c r="P557" s="9"/>
    </row>
    <row r="558">
      <c r="F558" s="14"/>
      <c r="H558" s="14"/>
      <c r="I558" s="14"/>
      <c r="K558" s="14"/>
      <c r="L558" s="14"/>
      <c r="O558" s="9"/>
      <c r="P558" s="9"/>
    </row>
    <row r="559">
      <c r="F559" s="14"/>
      <c r="H559" s="14"/>
      <c r="I559" s="14"/>
      <c r="K559" s="14"/>
      <c r="L559" s="14"/>
      <c r="O559" s="9"/>
      <c r="P559" s="9"/>
    </row>
    <row r="560">
      <c r="F560" s="14"/>
      <c r="H560" s="14"/>
      <c r="I560" s="14"/>
      <c r="K560" s="14"/>
      <c r="L560" s="14"/>
      <c r="O560" s="9"/>
      <c r="P560" s="9"/>
    </row>
    <row r="561">
      <c r="F561" s="14"/>
      <c r="H561" s="14"/>
      <c r="I561" s="14"/>
      <c r="K561" s="14"/>
      <c r="L561" s="14"/>
      <c r="O561" s="9"/>
      <c r="P561" s="9"/>
    </row>
    <row r="562">
      <c r="F562" s="14"/>
      <c r="H562" s="14"/>
      <c r="I562" s="14"/>
      <c r="K562" s="14"/>
      <c r="L562" s="14"/>
      <c r="O562" s="9"/>
      <c r="P562" s="9"/>
    </row>
    <row r="563">
      <c r="F563" s="14"/>
      <c r="H563" s="14"/>
      <c r="I563" s="14"/>
      <c r="K563" s="14"/>
      <c r="L563" s="14"/>
      <c r="O563" s="9"/>
      <c r="P563" s="9"/>
    </row>
    <row r="564">
      <c r="F564" s="14"/>
      <c r="H564" s="14"/>
      <c r="I564" s="14"/>
      <c r="K564" s="14"/>
      <c r="L564" s="14"/>
      <c r="O564" s="9"/>
      <c r="P564" s="9"/>
    </row>
    <row r="565">
      <c r="F565" s="14"/>
      <c r="H565" s="14"/>
      <c r="I565" s="14"/>
      <c r="K565" s="14"/>
      <c r="L565" s="14"/>
      <c r="O565" s="9"/>
      <c r="P565" s="9"/>
    </row>
    <row r="566">
      <c r="F566" s="14"/>
      <c r="H566" s="14"/>
      <c r="I566" s="14"/>
      <c r="K566" s="14"/>
      <c r="L566" s="14"/>
      <c r="O566" s="9"/>
      <c r="P566" s="9"/>
    </row>
    <row r="567">
      <c r="F567" s="14"/>
      <c r="H567" s="14"/>
      <c r="I567" s="14"/>
      <c r="K567" s="14"/>
      <c r="L567" s="14"/>
      <c r="O567" s="9"/>
      <c r="P567" s="9"/>
    </row>
    <row r="568">
      <c r="F568" s="14"/>
      <c r="H568" s="14"/>
      <c r="I568" s="14"/>
      <c r="K568" s="14"/>
      <c r="L568" s="14"/>
      <c r="O568" s="9"/>
      <c r="P568" s="9"/>
    </row>
    <row r="569">
      <c r="F569" s="14"/>
      <c r="H569" s="14"/>
      <c r="I569" s="14"/>
      <c r="K569" s="14"/>
      <c r="L569" s="14"/>
      <c r="O569" s="9"/>
      <c r="P569" s="9"/>
    </row>
    <row r="570">
      <c r="F570" s="14"/>
      <c r="H570" s="14"/>
      <c r="I570" s="14"/>
      <c r="K570" s="14"/>
      <c r="L570" s="14"/>
      <c r="O570" s="9"/>
      <c r="P570" s="9"/>
    </row>
    <row r="571">
      <c r="F571" s="14"/>
      <c r="H571" s="14"/>
      <c r="I571" s="14"/>
      <c r="K571" s="14"/>
      <c r="L571" s="14"/>
      <c r="O571" s="9"/>
      <c r="P571" s="9"/>
    </row>
    <row r="572">
      <c r="F572" s="14"/>
      <c r="H572" s="14"/>
      <c r="I572" s="14"/>
      <c r="K572" s="14"/>
      <c r="L572" s="14"/>
      <c r="O572" s="9"/>
      <c r="P572" s="9"/>
    </row>
    <row r="573">
      <c r="F573" s="14"/>
      <c r="H573" s="14"/>
      <c r="I573" s="14"/>
      <c r="K573" s="14"/>
      <c r="L573" s="14"/>
      <c r="O573" s="9"/>
      <c r="P573" s="9"/>
    </row>
    <row r="574">
      <c r="F574" s="14"/>
      <c r="H574" s="14"/>
      <c r="I574" s="14"/>
      <c r="K574" s="14"/>
      <c r="L574" s="14"/>
      <c r="O574" s="9"/>
      <c r="P574" s="9"/>
    </row>
    <row r="575">
      <c r="F575" s="14"/>
      <c r="H575" s="14"/>
      <c r="I575" s="14"/>
      <c r="K575" s="14"/>
      <c r="L575" s="14"/>
      <c r="O575" s="9"/>
      <c r="P575" s="9"/>
    </row>
    <row r="576">
      <c r="F576" s="14"/>
      <c r="H576" s="14"/>
      <c r="I576" s="14"/>
      <c r="K576" s="14"/>
      <c r="L576" s="14"/>
      <c r="O576" s="9"/>
      <c r="P576" s="9"/>
    </row>
    <row r="577">
      <c r="F577" s="14"/>
      <c r="H577" s="14"/>
      <c r="I577" s="14"/>
      <c r="K577" s="14"/>
      <c r="L577" s="14"/>
      <c r="O577" s="9"/>
      <c r="P577" s="9"/>
    </row>
    <row r="578">
      <c r="F578" s="14"/>
      <c r="H578" s="14"/>
      <c r="I578" s="14"/>
      <c r="K578" s="14"/>
      <c r="L578" s="14"/>
      <c r="O578" s="9"/>
      <c r="P578" s="9"/>
    </row>
    <row r="579">
      <c r="F579" s="14"/>
      <c r="H579" s="14"/>
      <c r="I579" s="14"/>
      <c r="K579" s="14"/>
      <c r="L579" s="14"/>
      <c r="O579" s="9"/>
      <c r="P579" s="9"/>
    </row>
    <row r="580">
      <c r="F580" s="14"/>
      <c r="H580" s="14"/>
      <c r="I580" s="14"/>
      <c r="K580" s="14"/>
      <c r="L580" s="14"/>
      <c r="O580" s="9"/>
      <c r="P580" s="9"/>
    </row>
    <row r="581">
      <c r="F581" s="14"/>
      <c r="H581" s="14"/>
      <c r="I581" s="14"/>
      <c r="K581" s="14"/>
      <c r="L581" s="14"/>
      <c r="O581" s="9"/>
      <c r="P581" s="9"/>
    </row>
    <row r="582">
      <c r="F582" s="14"/>
      <c r="H582" s="14"/>
      <c r="I582" s="14"/>
      <c r="K582" s="14"/>
      <c r="L582" s="14"/>
      <c r="O582" s="9"/>
      <c r="P582" s="9"/>
    </row>
    <row r="583">
      <c r="F583" s="14"/>
      <c r="H583" s="14"/>
      <c r="I583" s="14"/>
      <c r="K583" s="14"/>
      <c r="L583" s="14"/>
      <c r="O583" s="9"/>
      <c r="P583" s="9"/>
    </row>
    <row r="584">
      <c r="F584" s="14"/>
      <c r="H584" s="14"/>
      <c r="I584" s="14"/>
      <c r="K584" s="14"/>
      <c r="L584" s="14"/>
      <c r="O584" s="9"/>
      <c r="P584" s="9"/>
    </row>
    <row r="585">
      <c r="F585" s="14"/>
      <c r="H585" s="14"/>
      <c r="I585" s="14"/>
      <c r="K585" s="14"/>
      <c r="L585" s="14"/>
      <c r="O585" s="9"/>
      <c r="P585" s="9"/>
    </row>
    <row r="586">
      <c r="F586" s="14"/>
      <c r="H586" s="14"/>
      <c r="I586" s="14"/>
      <c r="K586" s="14"/>
      <c r="L586" s="14"/>
      <c r="O586" s="9"/>
      <c r="P586" s="9"/>
    </row>
    <row r="587">
      <c r="F587" s="14"/>
      <c r="H587" s="14"/>
      <c r="I587" s="14"/>
      <c r="K587" s="14"/>
      <c r="L587" s="14"/>
      <c r="O587" s="9"/>
      <c r="P587" s="9"/>
    </row>
    <row r="588">
      <c r="F588" s="14"/>
      <c r="H588" s="14"/>
      <c r="I588" s="14"/>
      <c r="K588" s="14"/>
      <c r="L588" s="14"/>
      <c r="O588" s="9"/>
      <c r="P588" s="9"/>
    </row>
    <row r="589">
      <c r="F589" s="14"/>
      <c r="H589" s="14"/>
      <c r="I589" s="14"/>
      <c r="K589" s="14"/>
      <c r="L589" s="14"/>
      <c r="O589" s="9"/>
      <c r="P589" s="9"/>
    </row>
    <row r="590">
      <c r="F590" s="14"/>
      <c r="H590" s="14"/>
      <c r="I590" s="14"/>
      <c r="K590" s="14"/>
      <c r="L590" s="14"/>
      <c r="O590" s="9"/>
      <c r="P590" s="9"/>
    </row>
    <row r="591">
      <c r="F591" s="14"/>
      <c r="H591" s="14"/>
      <c r="I591" s="14"/>
      <c r="K591" s="14"/>
      <c r="L591" s="14"/>
      <c r="O591" s="9"/>
      <c r="P591" s="9"/>
    </row>
    <row r="592">
      <c r="F592" s="14"/>
      <c r="H592" s="14"/>
      <c r="I592" s="14"/>
      <c r="K592" s="14"/>
      <c r="L592" s="14"/>
      <c r="O592" s="9"/>
      <c r="P592" s="9"/>
    </row>
    <row r="593">
      <c r="F593" s="14"/>
      <c r="H593" s="14"/>
      <c r="I593" s="14"/>
      <c r="K593" s="14"/>
      <c r="L593" s="14"/>
      <c r="O593" s="9"/>
      <c r="P593" s="9"/>
    </row>
    <row r="594">
      <c r="F594" s="14"/>
      <c r="H594" s="14"/>
      <c r="I594" s="14"/>
      <c r="K594" s="14"/>
      <c r="L594" s="14"/>
      <c r="O594" s="9"/>
      <c r="P594" s="9"/>
    </row>
    <row r="595">
      <c r="F595" s="14"/>
      <c r="H595" s="14"/>
      <c r="I595" s="14"/>
      <c r="K595" s="14"/>
      <c r="L595" s="14"/>
      <c r="O595" s="9"/>
      <c r="P595" s="9"/>
    </row>
    <row r="596">
      <c r="F596" s="14"/>
      <c r="H596" s="14"/>
      <c r="I596" s="14"/>
      <c r="K596" s="14"/>
      <c r="L596" s="14"/>
      <c r="O596" s="9"/>
      <c r="P596" s="9"/>
    </row>
    <row r="597">
      <c r="F597" s="14"/>
      <c r="H597" s="14"/>
      <c r="I597" s="14"/>
      <c r="K597" s="14"/>
      <c r="L597" s="14"/>
      <c r="O597" s="9"/>
      <c r="P597" s="9"/>
    </row>
    <row r="598">
      <c r="F598" s="14"/>
      <c r="H598" s="14"/>
      <c r="I598" s="14"/>
      <c r="K598" s="14"/>
      <c r="L598" s="14"/>
      <c r="O598" s="9"/>
      <c r="P598" s="9"/>
    </row>
    <row r="599">
      <c r="F599" s="14"/>
      <c r="H599" s="14"/>
      <c r="I599" s="14"/>
      <c r="K599" s="14"/>
      <c r="L599" s="14"/>
      <c r="O599" s="9"/>
      <c r="P599" s="9"/>
    </row>
    <row r="600">
      <c r="F600" s="14"/>
      <c r="H600" s="14"/>
      <c r="I600" s="14"/>
      <c r="K600" s="14"/>
      <c r="L600" s="14"/>
      <c r="O600" s="9"/>
      <c r="P600" s="9"/>
    </row>
    <row r="601">
      <c r="F601" s="14"/>
      <c r="H601" s="14"/>
      <c r="I601" s="14"/>
      <c r="K601" s="14"/>
      <c r="L601" s="14"/>
      <c r="O601" s="9"/>
      <c r="P601" s="9"/>
    </row>
    <row r="602">
      <c r="F602" s="14"/>
      <c r="H602" s="14"/>
      <c r="I602" s="14"/>
      <c r="K602" s="14"/>
      <c r="L602" s="14"/>
      <c r="O602" s="9"/>
      <c r="P602" s="9"/>
    </row>
    <row r="603">
      <c r="F603" s="14"/>
      <c r="H603" s="14"/>
      <c r="I603" s="14"/>
      <c r="K603" s="14"/>
      <c r="L603" s="14"/>
      <c r="O603" s="9"/>
      <c r="P603" s="9"/>
    </row>
    <row r="604">
      <c r="F604" s="14"/>
      <c r="H604" s="14"/>
      <c r="I604" s="14"/>
      <c r="K604" s="14"/>
      <c r="L604" s="14"/>
      <c r="O604" s="9"/>
      <c r="P604" s="9"/>
    </row>
    <row r="605">
      <c r="F605" s="14"/>
      <c r="H605" s="14"/>
      <c r="I605" s="14"/>
      <c r="K605" s="14"/>
      <c r="L605" s="14"/>
      <c r="O605" s="9"/>
      <c r="P605" s="9"/>
    </row>
    <row r="606">
      <c r="F606" s="14"/>
      <c r="H606" s="14"/>
      <c r="I606" s="14"/>
      <c r="K606" s="14"/>
      <c r="L606" s="14"/>
      <c r="O606" s="9"/>
      <c r="P606" s="9"/>
    </row>
    <row r="607">
      <c r="F607" s="14"/>
      <c r="H607" s="14"/>
      <c r="I607" s="14"/>
      <c r="K607" s="14"/>
      <c r="L607" s="14"/>
      <c r="O607" s="9"/>
      <c r="P607" s="9"/>
    </row>
    <row r="608">
      <c r="F608" s="14"/>
      <c r="H608" s="14"/>
      <c r="I608" s="14"/>
      <c r="K608" s="14"/>
      <c r="L608" s="14"/>
      <c r="O608" s="9"/>
      <c r="P608" s="9"/>
    </row>
    <row r="609">
      <c r="F609" s="14"/>
      <c r="H609" s="14"/>
      <c r="I609" s="14"/>
      <c r="K609" s="14"/>
      <c r="L609" s="14"/>
      <c r="O609" s="9"/>
      <c r="P609" s="9"/>
    </row>
    <row r="610">
      <c r="F610" s="14"/>
      <c r="H610" s="14"/>
      <c r="I610" s="14"/>
      <c r="K610" s="14"/>
      <c r="L610" s="14"/>
      <c r="O610" s="9"/>
      <c r="P610" s="9"/>
    </row>
    <row r="611">
      <c r="F611" s="14"/>
      <c r="H611" s="14"/>
      <c r="I611" s="14"/>
      <c r="K611" s="14"/>
      <c r="L611" s="14"/>
      <c r="O611" s="9"/>
      <c r="P611" s="9"/>
    </row>
    <row r="612">
      <c r="F612" s="14"/>
      <c r="H612" s="14"/>
      <c r="I612" s="14"/>
      <c r="K612" s="14"/>
      <c r="L612" s="14"/>
      <c r="O612" s="9"/>
      <c r="P612" s="9"/>
    </row>
    <row r="613">
      <c r="F613" s="14"/>
      <c r="H613" s="14"/>
      <c r="I613" s="14"/>
      <c r="K613" s="14"/>
      <c r="L613" s="14"/>
      <c r="O613" s="9"/>
      <c r="P613" s="9"/>
    </row>
    <row r="614">
      <c r="F614" s="14"/>
      <c r="H614" s="14"/>
      <c r="I614" s="14"/>
      <c r="K614" s="14"/>
      <c r="L614" s="14"/>
      <c r="O614" s="9"/>
      <c r="P614" s="9"/>
    </row>
    <row r="615">
      <c r="F615" s="14"/>
      <c r="H615" s="14"/>
      <c r="I615" s="14"/>
      <c r="K615" s="14"/>
      <c r="L615" s="14"/>
      <c r="O615" s="9"/>
      <c r="P615" s="9"/>
    </row>
    <row r="616">
      <c r="F616" s="14"/>
      <c r="H616" s="14"/>
      <c r="I616" s="14"/>
      <c r="K616" s="14"/>
      <c r="L616" s="14"/>
      <c r="O616" s="9"/>
      <c r="P616" s="9"/>
    </row>
    <row r="617">
      <c r="F617" s="14"/>
      <c r="H617" s="14"/>
      <c r="I617" s="14"/>
      <c r="K617" s="14"/>
      <c r="L617" s="14"/>
      <c r="O617" s="9"/>
      <c r="P617" s="9"/>
    </row>
    <row r="618">
      <c r="F618" s="14"/>
      <c r="H618" s="14"/>
      <c r="I618" s="14"/>
      <c r="K618" s="14"/>
      <c r="L618" s="14"/>
      <c r="O618" s="9"/>
      <c r="P618" s="9"/>
    </row>
    <row r="619">
      <c r="F619" s="14"/>
      <c r="H619" s="14"/>
      <c r="I619" s="14"/>
      <c r="K619" s="14"/>
      <c r="L619" s="14"/>
      <c r="O619" s="9"/>
      <c r="P619" s="9"/>
    </row>
    <row r="620">
      <c r="F620" s="14"/>
      <c r="H620" s="14"/>
      <c r="I620" s="14"/>
      <c r="K620" s="14"/>
      <c r="L620" s="14"/>
      <c r="O620" s="9"/>
      <c r="P620" s="9"/>
    </row>
    <row r="621">
      <c r="F621" s="14"/>
      <c r="H621" s="14"/>
      <c r="I621" s="14"/>
      <c r="K621" s="14"/>
      <c r="L621" s="14"/>
      <c r="O621" s="9"/>
      <c r="P621" s="9"/>
    </row>
    <row r="622">
      <c r="F622" s="14"/>
      <c r="H622" s="14"/>
      <c r="I622" s="14"/>
      <c r="K622" s="14"/>
      <c r="L622" s="14"/>
      <c r="O622" s="9"/>
      <c r="P622" s="9"/>
    </row>
    <row r="623">
      <c r="F623" s="14"/>
      <c r="H623" s="14"/>
      <c r="I623" s="14"/>
      <c r="K623" s="14"/>
      <c r="L623" s="14"/>
      <c r="O623" s="9"/>
      <c r="P623" s="9"/>
    </row>
    <row r="624">
      <c r="F624" s="14"/>
      <c r="H624" s="14"/>
      <c r="I624" s="14"/>
      <c r="K624" s="14"/>
      <c r="L624" s="14"/>
      <c r="O624" s="9"/>
      <c r="P624" s="9"/>
    </row>
    <row r="625">
      <c r="F625" s="14"/>
      <c r="H625" s="14"/>
      <c r="I625" s="14"/>
      <c r="K625" s="14"/>
      <c r="L625" s="14"/>
      <c r="O625" s="9"/>
      <c r="P625" s="9"/>
    </row>
    <row r="626">
      <c r="F626" s="14"/>
      <c r="H626" s="14"/>
      <c r="I626" s="14"/>
      <c r="K626" s="14"/>
      <c r="L626" s="14"/>
      <c r="O626" s="9"/>
      <c r="P626" s="9"/>
    </row>
    <row r="627">
      <c r="F627" s="14"/>
      <c r="H627" s="14"/>
      <c r="I627" s="14"/>
      <c r="K627" s="14"/>
      <c r="L627" s="14"/>
      <c r="O627" s="9"/>
      <c r="P627" s="9"/>
    </row>
    <row r="628">
      <c r="F628" s="14"/>
      <c r="H628" s="14"/>
      <c r="I628" s="14"/>
      <c r="K628" s="14"/>
      <c r="L628" s="14"/>
      <c r="O628" s="9"/>
      <c r="P628" s="9"/>
    </row>
    <row r="629">
      <c r="F629" s="14"/>
      <c r="H629" s="14"/>
      <c r="I629" s="14"/>
      <c r="K629" s="14"/>
      <c r="L629" s="14"/>
      <c r="O629" s="9"/>
      <c r="P629" s="9"/>
    </row>
    <row r="630">
      <c r="F630" s="14"/>
      <c r="H630" s="14"/>
      <c r="I630" s="14"/>
      <c r="K630" s="14"/>
      <c r="L630" s="14"/>
      <c r="O630" s="9"/>
      <c r="P630" s="9"/>
    </row>
    <row r="631">
      <c r="F631" s="14"/>
      <c r="H631" s="14"/>
      <c r="I631" s="14"/>
      <c r="K631" s="14"/>
      <c r="L631" s="14"/>
      <c r="O631" s="9"/>
      <c r="P631" s="9"/>
    </row>
    <row r="632">
      <c r="F632" s="14"/>
      <c r="H632" s="14"/>
      <c r="I632" s="14"/>
      <c r="K632" s="14"/>
      <c r="L632" s="14"/>
      <c r="O632" s="9"/>
      <c r="P632" s="9"/>
    </row>
    <row r="633">
      <c r="F633" s="14"/>
      <c r="H633" s="14"/>
      <c r="I633" s="14"/>
      <c r="K633" s="14"/>
      <c r="L633" s="14"/>
      <c r="O633" s="9"/>
      <c r="P633" s="9"/>
    </row>
    <row r="634">
      <c r="F634" s="14"/>
      <c r="H634" s="14"/>
      <c r="I634" s="14"/>
      <c r="K634" s="14"/>
      <c r="L634" s="14"/>
      <c r="O634" s="9"/>
      <c r="P634" s="9"/>
    </row>
    <row r="635">
      <c r="F635" s="14"/>
      <c r="H635" s="14"/>
      <c r="I635" s="14"/>
      <c r="K635" s="14"/>
      <c r="L635" s="14"/>
      <c r="O635" s="9"/>
      <c r="P635" s="9"/>
    </row>
    <row r="636">
      <c r="F636" s="14"/>
      <c r="H636" s="14"/>
      <c r="I636" s="14"/>
      <c r="K636" s="14"/>
      <c r="L636" s="14"/>
      <c r="O636" s="9"/>
      <c r="P636" s="9"/>
    </row>
    <row r="637">
      <c r="F637" s="14"/>
      <c r="H637" s="14"/>
      <c r="I637" s="14"/>
      <c r="K637" s="14"/>
      <c r="L637" s="14"/>
      <c r="O637" s="9"/>
      <c r="P637" s="9"/>
    </row>
    <row r="638">
      <c r="F638" s="14"/>
      <c r="H638" s="14"/>
      <c r="I638" s="14"/>
      <c r="K638" s="14"/>
      <c r="L638" s="14"/>
      <c r="O638" s="9"/>
      <c r="P638" s="9"/>
    </row>
    <row r="639">
      <c r="F639" s="14"/>
      <c r="H639" s="14"/>
      <c r="I639" s="14"/>
      <c r="K639" s="14"/>
      <c r="L639" s="14"/>
      <c r="O639" s="9"/>
      <c r="P639" s="9"/>
    </row>
    <row r="640">
      <c r="F640" s="14"/>
      <c r="H640" s="14"/>
      <c r="I640" s="14"/>
      <c r="K640" s="14"/>
      <c r="L640" s="14"/>
      <c r="O640" s="9"/>
      <c r="P640" s="9"/>
    </row>
    <row r="641">
      <c r="F641" s="14"/>
      <c r="H641" s="14"/>
      <c r="I641" s="14"/>
      <c r="K641" s="14"/>
      <c r="L641" s="14"/>
      <c r="O641" s="9"/>
      <c r="P641" s="9"/>
    </row>
    <row r="642">
      <c r="F642" s="14"/>
      <c r="H642" s="14"/>
      <c r="I642" s="14"/>
      <c r="K642" s="14"/>
      <c r="L642" s="14"/>
      <c r="O642" s="9"/>
      <c r="P642" s="9"/>
    </row>
    <row r="643">
      <c r="F643" s="14"/>
      <c r="H643" s="14"/>
      <c r="I643" s="14"/>
      <c r="K643" s="14"/>
      <c r="L643" s="14"/>
      <c r="O643" s="9"/>
      <c r="P643" s="9"/>
    </row>
    <row r="644">
      <c r="F644" s="14"/>
      <c r="H644" s="14"/>
      <c r="I644" s="14"/>
      <c r="K644" s="14"/>
      <c r="L644" s="14"/>
      <c r="O644" s="9"/>
      <c r="P644" s="9"/>
    </row>
    <row r="645">
      <c r="F645" s="14"/>
      <c r="H645" s="14"/>
      <c r="I645" s="14"/>
      <c r="K645" s="14"/>
      <c r="L645" s="14"/>
      <c r="O645" s="9"/>
      <c r="P645" s="9"/>
    </row>
    <row r="646">
      <c r="F646" s="14"/>
      <c r="H646" s="14"/>
      <c r="I646" s="14"/>
      <c r="K646" s="14"/>
      <c r="L646" s="14"/>
      <c r="O646" s="9"/>
      <c r="P646" s="9"/>
    </row>
    <row r="647">
      <c r="F647" s="14"/>
      <c r="H647" s="14"/>
      <c r="I647" s="14"/>
      <c r="K647" s="14"/>
      <c r="L647" s="14"/>
      <c r="O647" s="9"/>
      <c r="P647" s="9"/>
    </row>
    <row r="648">
      <c r="F648" s="14"/>
      <c r="H648" s="14"/>
      <c r="I648" s="14"/>
      <c r="K648" s="14"/>
      <c r="L648" s="14"/>
      <c r="O648" s="9"/>
      <c r="P648" s="9"/>
    </row>
    <row r="649">
      <c r="F649" s="14"/>
      <c r="H649" s="14"/>
      <c r="I649" s="14"/>
      <c r="K649" s="14"/>
      <c r="L649" s="14"/>
      <c r="O649" s="9"/>
      <c r="P649" s="9"/>
    </row>
    <row r="650">
      <c r="F650" s="14"/>
      <c r="H650" s="14"/>
      <c r="I650" s="14"/>
      <c r="K650" s="14"/>
      <c r="L650" s="14"/>
      <c r="O650" s="9"/>
      <c r="P650" s="9"/>
    </row>
    <row r="651">
      <c r="F651" s="14"/>
      <c r="H651" s="14"/>
      <c r="I651" s="14"/>
      <c r="K651" s="14"/>
      <c r="L651" s="14"/>
      <c r="O651" s="9"/>
      <c r="P651" s="9"/>
    </row>
    <row r="652">
      <c r="F652" s="14"/>
      <c r="H652" s="14"/>
      <c r="I652" s="14"/>
      <c r="K652" s="14"/>
      <c r="L652" s="14"/>
      <c r="O652" s="9"/>
      <c r="P652" s="9"/>
    </row>
    <row r="653">
      <c r="F653" s="14"/>
      <c r="H653" s="14"/>
      <c r="I653" s="14"/>
      <c r="K653" s="14"/>
      <c r="L653" s="14"/>
      <c r="O653" s="9"/>
      <c r="P653" s="9"/>
    </row>
    <row r="654">
      <c r="F654" s="14"/>
      <c r="H654" s="14"/>
      <c r="I654" s="14"/>
      <c r="K654" s="14"/>
      <c r="L654" s="14"/>
      <c r="O654" s="9"/>
      <c r="P654" s="9"/>
    </row>
    <row r="655">
      <c r="F655" s="14"/>
      <c r="H655" s="14"/>
      <c r="I655" s="14"/>
      <c r="K655" s="14"/>
      <c r="L655" s="14"/>
      <c r="O655" s="9"/>
      <c r="P655" s="9"/>
    </row>
    <row r="656">
      <c r="F656" s="14"/>
      <c r="H656" s="14"/>
      <c r="I656" s="14"/>
      <c r="K656" s="14"/>
      <c r="L656" s="14"/>
      <c r="O656" s="9"/>
      <c r="P656" s="9"/>
    </row>
    <row r="657">
      <c r="F657" s="14"/>
      <c r="H657" s="14"/>
      <c r="I657" s="14"/>
      <c r="K657" s="14"/>
      <c r="L657" s="14"/>
      <c r="O657" s="9"/>
      <c r="P657" s="9"/>
    </row>
    <row r="658">
      <c r="F658" s="14"/>
      <c r="H658" s="14"/>
      <c r="I658" s="14"/>
      <c r="K658" s="14"/>
      <c r="L658" s="14"/>
      <c r="O658" s="9"/>
      <c r="P658" s="9"/>
    </row>
    <row r="659">
      <c r="F659" s="14"/>
      <c r="H659" s="14"/>
      <c r="I659" s="14"/>
      <c r="K659" s="14"/>
      <c r="L659" s="14"/>
      <c r="O659" s="9"/>
      <c r="P659" s="9"/>
    </row>
    <row r="660">
      <c r="F660" s="14"/>
      <c r="H660" s="14"/>
      <c r="I660" s="14"/>
      <c r="K660" s="14"/>
      <c r="L660" s="14"/>
      <c r="O660" s="9"/>
      <c r="P660" s="9"/>
    </row>
    <row r="661">
      <c r="F661" s="14"/>
      <c r="H661" s="14"/>
      <c r="I661" s="14"/>
      <c r="K661" s="14"/>
      <c r="L661" s="14"/>
      <c r="O661" s="9"/>
      <c r="P661" s="9"/>
    </row>
    <row r="662">
      <c r="F662" s="14"/>
      <c r="H662" s="14"/>
      <c r="I662" s="14"/>
      <c r="K662" s="14"/>
      <c r="L662" s="14"/>
      <c r="O662" s="9"/>
      <c r="P662" s="9"/>
    </row>
    <row r="663">
      <c r="F663" s="14"/>
      <c r="H663" s="14"/>
      <c r="I663" s="14"/>
      <c r="K663" s="14"/>
      <c r="L663" s="14"/>
      <c r="O663" s="9"/>
      <c r="P663" s="9"/>
    </row>
    <row r="664">
      <c r="F664" s="14"/>
      <c r="H664" s="14"/>
      <c r="I664" s="14"/>
      <c r="K664" s="14"/>
      <c r="L664" s="14"/>
      <c r="O664" s="9"/>
      <c r="P664" s="9"/>
    </row>
    <row r="665">
      <c r="F665" s="14"/>
      <c r="H665" s="14"/>
      <c r="I665" s="14"/>
      <c r="K665" s="14"/>
      <c r="L665" s="14"/>
      <c r="O665" s="9"/>
      <c r="P665" s="9"/>
    </row>
    <row r="666">
      <c r="F666" s="14"/>
      <c r="H666" s="14"/>
      <c r="I666" s="14"/>
      <c r="K666" s="14"/>
      <c r="L666" s="14"/>
      <c r="O666" s="9"/>
      <c r="P666" s="9"/>
    </row>
    <row r="667">
      <c r="F667" s="14"/>
      <c r="H667" s="14"/>
      <c r="I667" s="14"/>
      <c r="K667" s="14"/>
      <c r="L667" s="14"/>
      <c r="O667" s="9"/>
      <c r="P667" s="9"/>
    </row>
    <row r="668">
      <c r="F668" s="14"/>
      <c r="H668" s="14"/>
      <c r="I668" s="14"/>
      <c r="K668" s="14"/>
      <c r="L668" s="14"/>
      <c r="O668" s="9"/>
      <c r="P668" s="9"/>
    </row>
    <row r="669">
      <c r="F669" s="14"/>
      <c r="H669" s="14"/>
      <c r="I669" s="14"/>
      <c r="K669" s="14"/>
      <c r="L669" s="14"/>
      <c r="O669" s="9"/>
      <c r="P669" s="9"/>
    </row>
    <row r="670">
      <c r="F670" s="14"/>
      <c r="H670" s="14"/>
      <c r="I670" s="14"/>
      <c r="K670" s="14"/>
      <c r="L670" s="14"/>
      <c r="O670" s="9"/>
      <c r="P670" s="9"/>
    </row>
    <row r="671">
      <c r="F671" s="14"/>
      <c r="H671" s="14"/>
      <c r="I671" s="14"/>
      <c r="K671" s="14"/>
      <c r="L671" s="14"/>
      <c r="O671" s="9"/>
      <c r="P671" s="9"/>
    </row>
    <row r="672">
      <c r="F672" s="14"/>
      <c r="H672" s="14"/>
      <c r="I672" s="14"/>
      <c r="K672" s="14"/>
      <c r="L672" s="14"/>
      <c r="O672" s="9"/>
      <c r="P672" s="9"/>
    </row>
    <row r="673">
      <c r="F673" s="14"/>
      <c r="H673" s="14"/>
      <c r="I673" s="14"/>
      <c r="K673" s="14"/>
      <c r="L673" s="14"/>
      <c r="O673" s="9"/>
      <c r="P673" s="9"/>
    </row>
    <row r="674">
      <c r="F674" s="14"/>
      <c r="H674" s="14"/>
      <c r="I674" s="14"/>
      <c r="K674" s="14"/>
      <c r="L674" s="14"/>
      <c r="O674" s="9"/>
      <c r="P674" s="9"/>
    </row>
    <row r="675">
      <c r="F675" s="14"/>
      <c r="H675" s="14"/>
      <c r="I675" s="14"/>
      <c r="K675" s="14"/>
      <c r="L675" s="14"/>
      <c r="O675" s="9"/>
      <c r="P675" s="9"/>
    </row>
    <row r="676">
      <c r="F676" s="14"/>
      <c r="H676" s="14"/>
      <c r="I676" s="14"/>
      <c r="K676" s="14"/>
      <c r="L676" s="14"/>
      <c r="O676" s="9"/>
      <c r="P676" s="9"/>
    </row>
    <row r="677">
      <c r="F677" s="14"/>
      <c r="H677" s="14"/>
      <c r="I677" s="14"/>
      <c r="K677" s="14"/>
      <c r="L677" s="14"/>
      <c r="O677" s="9"/>
      <c r="P677" s="9"/>
    </row>
    <row r="678">
      <c r="F678" s="14"/>
      <c r="H678" s="14"/>
      <c r="I678" s="14"/>
      <c r="K678" s="14"/>
      <c r="L678" s="14"/>
      <c r="O678" s="9"/>
      <c r="P678" s="9"/>
    </row>
    <row r="679">
      <c r="F679" s="14"/>
      <c r="H679" s="14"/>
      <c r="I679" s="14"/>
      <c r="K679" s="14"/>
      <c r="L679" s="14"/>
      <c r="O679" s="9"/>
      <c r="P679" s="9"/>
    </row>
    <row r="680">
      <c r="F680" s="14"/>
      <c r="H680" s="14"/>
      <c r="I680" s="14"/>
      <c r="K680" s="14"/>
      <c r="L680" s="14"/>
      <c r="O680" s="9"/>
      <c r="P680" s="9"/>
    </row>
    <row r="681">
      <c r="F681" s="14"/>
      <c r="H681" s="14"/>
      <c r="I681" s="14"/>
      <c r="K681" s="14"/>
      <c r="L681" s="14"/>
      <c r="O681" s="9"/>
      <c r="P681" s="9"/>
    </row>
    <row r="682">
      <c r="F682" s="14"/>
      <c r="H682" s="14"/>
      <c r="I682" s="14"/>
      <c r="K682" s="14"/>
      <c r="L682" s="14"/>
      <c r="O682" s="9"/>
      <c r="P682" s="9"/>
    </row>
    <row r="683">
      <c r="F683" s="14"/>
      <c r="H683" s="14"/>
      <c r="I683" s="14"/>
      <c r="K683" s="14"/>
      <c r="L683" s="14"/>
      <c r="O683" s="9"/>
      <c r="P683" s="9"/>
    </row>
    <row r="684">
      <c r="F684" s="14"/>
      <c r="H684" s="14"/>
      <c r="I684" s="14"/>
      <c r="K684" s="14"/>
      <c r="L684" s="14"/>
      <c r="O684" s="9"/>
      <c r="P684" s="9"/>
    </row>
    <row r="685">
      <c r="F685" s="14"/>
      <c r="H685" s="14"/>
      <c r="I685" s="14"/>
      <c r="K685" s="14"/>
      <c r="L685" s="14"/>
      <c r="O685" s="9"/>
      <c r="P685" s="9"/>
    </row>
    <row r="686">
      <c r="F686" s="14"/>
      <c r="H686" s="14"/>
      <c r="I686" s="14"/>
      <c r="K686" s="14"/>
      <c r="L686" s="14"/>
      <c r="O686" s="9"/>
      <c r="P686" s="9"/>
    </row>
    <row r="687">
      <c r="F687" s="14"/>
      <c r="H687" s="14"/>
      <c r="I687" s="14"/>
      <c r="K687" s="14"/>
      <c r="L687" s="14"/>
      <c r="O687" s="9"/>
      <c r="P687" s="9"/>
    </row>
    <row r="688">
      <c r="F688" s="14"/>
      <c r="H688" s="14"/>
      <c r="I688" s="14"/>
      <c r="K688" s="14"/>
      <c r="L688" s="14"/>
      <c r="O688" s="9"/>
      <c r="P688" s="9"/>
    </row>
    <row r="689">
      <c r="F689" s="14"/>
      <c r="H689" s="14"/>
      <c r="I689" s="14"/>
      <c r="K689" s="14"/>
      <c r="L689" s="14"/>
      <c r="O689" s="9"/>
      <c r="P689" s="9"/>
    </row>
    <row r="690">
      <c r="F690" s="14"/>
      <c r="H690" s="14"/>
      <c r="I690" s="14"/>
      <c r="K690" s="14"/>
      <c r="L690" s="14"/>
      <c r="O690" s="9"/>
      <c r="P690" s="9"/>
    </row>
    <row r="691">
      <c r="F691" s="14"/>
      <c r="H691" s="14"/>
      <c r="I691" s="14"/>
      <c r="K691" s="14"/>
      <c r="L691" s="14"/>
      <c r="O691" s="9"/>
      <c r="P691" s="9"/>
    </row>
    <row r="692">
      <c r="F692" s="14"/>
      <c r="H692" s="14"/>
      <c r="I692" s="14"/>
      <c r="K692" s="14"/>
      <c r="L692" s="14"/>
      <c r="O692" s="9"/>
      <c r="P692" s="9"/>
    </row>
    <row r="693">
      <c r="F693" s="14"/>
      <c r="H693" s="14"/>
      <c r="I693" s="14"/>
      <c r="K693" s="14"/>
      <c r="L693" s="14"/>
      <c r="O693" s="9"/>
      <c r="P693" s="9"/>
    </row>
    <row r="694">
      <c r="F694" s="14"/>
      <c r="H694" s="14"/>
      <c r="I694" s="14"/>
      <c r="K694" s="14"/>
      <c r="L694" s="14"/>
      <c r="O694" s="9"/>
      <c r="P694" s="9"/>
    </row>
    <row r="695">
      <c r="F695" s="14"/>
      <c r="H695" s="14"/>
      <c r="I695" s="14"/>
      <c r="K695" s="14"/>
      <c r="L695" s="14"/>
      <c r="O695" s="9"/>
      <c r="P695" s="9"/>
    </row>
    <row r="696">
      <c r="F696" s="14"/>
      <c r="H696" s="14"/>
      <c r="I696" s="14"/>
      <c r="K696" s="14"/>
      <c r="L696" s="14"/>
      <c r="O696" s="9"/>
      <c r="P696" s="9"/>
    </row>
    <row r="697">
      <c r="F697" s="14"/>
      <c r="H697" s="14"/>
      <c r="I697" s="14"/>
      <c r="K697" s="14"/>
      <c r="L697" s="14"/>
      <c r="O697" s="9"/>
      <c r="P697" s="9"/>
    </row>
    <row r="698">
      <c r="F698" s="14"/>
      <c r="H698" s="14"/>
      <c r="I698" s="14"/>
      <c r="K698" s="14"/>
      <c r="L698" s="14"/>
      <c r="O698" s="9"/>
      <c r="P698" s="9"/>
    </row>
    <row r="699">
      <c r="F699" s="14"/>
      <c r="H699" s="14"/>
      <c r="I699" s="14"/>
      <c r="K699" s="14"/>
      <c r="L699" s="14"/>
      <c r="O699" s="9"/>
      <c r="P699" s="9"/>
    </row>
    <row r="700">
      <c r="F700" s="14"/>
      <c r="H700" s="14"/>
      <c r="I700" s="14"/>
      <c r="K700" s="14"/>
      <c r="L700" s="14"/>
      <c r="O700" s="9"/>
      <c r="P700" s="9"/>
    </row>
    <row r="701">
      <c r="F701" s="14"/>
      <c r="H701" s="14"/>
      <c r="I701" s="14"/>
      <c r="K701" s="14"/>
      <c r="L701" s="14"/>
      <c r="O701" s="9"/>
      <c r="P701" s="9"/>
    </row>
    <row r="702">
      <c r="F702" s="14"/>
      <c r="H702" s="14"/>
      <c r="I702" s="14"/>
      <c r="K702" s="14"/>
      <c r="L702" s="14"/>
      <c r="O702" s="9"/>
      <c r="P702" s="9"/>
    </row>
    <row r="703">
      <c r="F703" s="14"/>
      <c r="H703" s="14"/>
      <c r="I703" s="14"/>
      <c r="K703" s="14"/>
      <c r="L703" s="14"/>
      <c r="O703" s="9"/>
      <c r="P703" s="9"/>
    </row>
    <row r="704">
      <c r="F704" s="14"/>
      <c r="H704" s="14"/>
      <c r="I704" s="14"/>
      <c r="K704" s="14"/>
      <c r="L704" s="14"/>
      <c r="O704" s="9"/>
      <c r="P704" s="9"/>
    </row>
    <row r="705">
      <c r="F705" s="14"/>
      <c r="H705" s="14"/>
      <c r="I705" s="14"/>
      <c r="K705" s="14"/>
      <c r="L705" s="14"/>
      <c r="O705" s="9"/>
      <c r="P705" s="9"/>
    </row>
    <row r="706">
      <c r="F706" s="14"/>
      <c r="H706" s="14"/>
      <c r="I706" s="14"/>
      <c r="K706" s="14"/>
      <c r="L706" s="14"/>
      <c r="O706" s="9"/>
      <c r="P706" s="9"/>
    </row>
    <row r="707">
      <c r="F707" s="14"/>
      <c r="H707" s="14"/>
      <c r="I707" s="14"/>
      <c r="K707" s="14"/>
      <c r="L707" s="14"/>
      <c r="O707" s="9"/>
      <c r="P707" s="9"/>
    </row>
    <row r="708">
      <c r="F708" s="14"/>
      <c r="H708" s="14"/>
      <c r="I708" s="14"/>
      <c r="K708" s="14"/>
      <c r="L708" s="14"/>
      <c r="O708" s="9"/>
      <c r="P708" s="9"/>
    </row>
    <row r="709">
      <c r="F709" s="14"/>
      <c r="H709" s="14"/>
      <c r="I709" s="14"/>
      <c r="K709" s="14"/>
      <c r="L709" s="14"/>
      <c r="O709" s="9"/>
      <c r="P709" s="9"/>
    </row>
    <row r="710">
      <c r="F710" s="14"/>
      <c r="H710" s="14"/>
      <c r="I710" s="14"/>
      <c r="K710" s="14"/>
      <c r="L710" s="14"/>
      <c r="O710" s="9"/>
      <c r="P710" s="9"/>
    </row>
    <row r="711">
      <c r="F711" s="14"/>
      <c r="H711" s="14"/>
      <c r="I711" s="14"/>
      <c r="K711" s="14"/>
      <c r="L711" s="14"/>
      <c r="O711" s="9"/>
      <c r="P711" s="9"/>
    </row>
    <row r="712">
      <c r="F712" s="14"/>
      <c r="H712" s="14"/>
      <c r="I712" s="14"/>
      <c r="K712" s="14"/>
      <c r="L712" s="14"/>
      <c r="O712" s="9"/>
      <c r="P712" s="9"/>
    </row>
    <row r="713">
      <c r="F713" s="14"/>
      <c r="H713" s="14"/>
      <c r="I713" s="14"/>
      <c r="K713" s="14"/>
      <c r="L713" s="14"/>
      <c r="O713" s="9"/>
      <c r="P713" s="9"/>
    </row>
    <row r="714">
      <c r="F714" s="14"/>
      <c r="H714" s="14"/>
      <c r="I714" s="14"/>
      <c r="K714" s="14"/>
      <c r="L714" s="14"/>
      <c r="O714" s="9"/>
      <c r="P714" s="9"/>
    </row>
    <row r="715">
      <c r="F715" s="14"/>
      <c r="H715" s="14"/>
      <c r="I715" s="14"/>
      <c r="K715" s="14"/>
      <c r="L715" s="14"/>
      <c r="O715" s="9"/>
      <c r="P715" s="9"/>
    </row>
    <row r="716">
      <c r="F716" s="14"/>
      <c r="H716" s="14"/>
      <c r="I716" s="14"/>
      <c r="K716" s="14"/>
      <c r="L716" s="14"/>
      <c r="O716" s="9"/>
      <c r="P716" s="9"/>
    </row>
    <row r="717">
      <c r="F717" s="14"/>
      <c r="H717" s="14"/>
      <c r="I717" s="14"/>
      <c r="K717" s="14"/>
      <c r="L717" s="14"/>
      <c r="O717" s="9"/>
      <c r="P717" s="9"/>
    </row>
    <row r="718">
      <c r="F718" s="14"/>
      <c r="H718" s="14"/>
      <c r="I718" s="14"/>
      <c r="K718" s="14"/>
      <c r="L718" s="14"/>
      <c r="O718" s="9"/>
      <c r="P718" s="9"/>
    </row>
    <row r="719">
      <c r="F719" s="14"/>
      <c r="H719" s="14"/>
      <c r="I719" s="14"/>
      <c r="K719" s="14"/>
      <c r="L719" s="14"/>
      <c r="O719" s="9"/>
      <c r="P719" s="9"/>
    </row>
    <row r="720">
      <c r="F720" s="14"/>
      <c r="H720" s="14"/>
      <c r="I720" s="14"/>
      <c r="K720" s="14"/>
      <c r="L720" s="14"/>
      <c r="O720" s="9"/>
      <c r="P720" s="9"/>
    </row>
    <row r="721">
      <c r="F721" s="14"/>
      <c r="H721" s="14"/>
      <c r="I721" s="14"/>
      <c r="K721" s="14"/>
      <c r="L721" s="14"/>
      <c r="O721" s="9"/>
      <c r="P721" s="9"/>
    </row>
    <row r="722">
      <c r="F722" s="14"/>
      <c r="H722" s="14"/>
      <c r="I722" s="14"/>
      <c r="K722" s="14"/>
      <c r="L722" s="14"/>
      <c r="O722" s="9"/>
      <c r="P722" s="9"/>
    </row>
    <row r="723">
      <c r="F723" s="14"/>
      <c r="H723" s="14"/>
      <c r="I723" s="14"/>
      <c r="K723" s="14"/>
      <c r="L723" s="14"/>
      <c r="O723" s="9"/>
      <c r="P723" s="9"/>
    </row>
    <row r="724">
      <c r="F724" s="14"/>
      <c r="H724" s="14"/>
      <c r="I724" s="14"/>
      <c r="K724" s="14"/>
      <c r="L724" s="14"/>
      <c r="O724" s="9"/>
      <c r="P724" s="9"/>
    </row>
    <row r="725">
      <c r="F725" s="14"/>
      <c r="H725" s="14"/>
      <c r="I725" s="14"/>
      <c r="K725" s="14"/>
      <c r="L725" s="14"/>
      <c r="O725" s="9"/>
      <c r="P725" s="9"/>
    </row>
    <row r="726">
      <c r="F726" s="14"/>
      <c r="H726" s="14"/>
      <c r="I726" s="14"/>
      <c r="K726" s="14"/>
      <c r="L726" s="14"/>
      <c r="O726" s="9"/>
      <c r="P726" s="9"/>
    </row>
    <row r="727">
      <c r="F727" s="14"/>
      <c r="H727" s="14"/>
      <c r="I727" s="14"/>
      <c r="K727" s="14"/>
      <c r="L727" s="14"/>
      <c r="O727" s="9"/>
      <c r="P727" s="9"/>
    </row>
    <row r="728">
      <c r="F728" s="14"/>
      <c r="H728" s="14"/>
      <c r="I728" s="14"/>
      <c r="K728" s="14"/>
      <c r="L728" s="14"/>
      <c r="O728" s="9"/>
      <c r="P728" s="9"/>
    </row>
    <row r="729">
      <c r="F729" s="14"/>
      <c r="H729" s="14"/>
      <c r="I729" s="14"/>
      <c r="K729" s="14"/>
      <c r="L729" s="14"/>
      <c r="O729" s="9"/>
      <c r="P729" s="9"/>
    </row>
    <row r="730">
      <c r="F730" s="14"/>
      <c r="H730" s="14"/>
      <c r="I730" s="14"/>
      <c r="K730" s="14"/>
      <c r="L730" s="14"/>
      <c r="O730" s="9"/>
      <c r="P730" s="9"/>
    </row>
    <row r="731">
      <c r="F731" s="14"/>
      <c r="H731" s="14"/>
      <c r="I731" s="14"/>
      <c r="K731" s="14"/>
      <c r="L731" s="14"/>
      <c r="O731" s="9"/>
      <c r="P731" s="9"/>
    </row>
    <row r="732">
      <c r="F732" s="14"/>
      <c r="H732" s="14"/>
      <c r="I732" s="14"/>
      <c r="K732" s="14"/>
      <c r="L732" s="14"/>
      <c r="O732" s="9"/>
      <c r="P732" s="9"/>
    </row>
    <row r="733">
      <c r="F733" s="14"/>
      <c r="H733" s="14"/>
      <c r="I733" s="14"/>
      <c r="K733" s="14"/>
      <c r="L733" s="14"/>
      <c r="O733" s="9"/>
      <c r="P733" s="9"/>
    </row>
    <row r="734">
      <c r="F734" s="14"/>
      <c r="H734" s="14"/>
      <c r="I734" s="14"/>
      <c r="K734" s="14"/>
      <c r="L734" s="14"/>
      <c r="O734" s="9"/>
      <c r="P734" s="9"/>
    </row>
    <row r="735">
      <c r="F735" s="14"/>
      <c r="H735" s="14"/>
      <c r="I735" s="14"/>
      <c r="K735" s="14"/>
      <c r="L735" s="14"/>
      <c r="O735" s="9"/>
      <c r="P735" s="9"/>
    </row>
    <row r="736">
      <c r="F736" s="14"/>
      <c r="H736" s="14"/>
      <c r="I736" s="14"/>
      <c r="K736" s="14"/>
      <c r="L736" s="14"/>
      <c r="O736" s="9"/>
      <c r="P736" s="9"/>
    </row>
    <row r="737">
      <c r="F737" s="14"/>
      <c r="H737" s="14"/>
      <c r="I737" s="14"/>
      <c r="K737" s="14"/>
      <c r="L737" s="14"/>
      <c r="O737" s="9"/>
      <c r="P737" s="9"/>
    </row>
    <row r="738">
      <c r="F738" s="14"/>
      <c r="H738" s="14"/>
      <c r="I738" s="14"/>
      <c r="K738" s="14"/>
      <c r="L738" s="14"/>
      <c r="O738" s="9"/>
      <c r="P738" s="9"/>
    </row>
    <row r="739">
      <c r="F739" s="14"/>
      <c r="H739" s="14"/>
      <c r="I739" s="14"/>
      <c r="K739" s="14"/>
      <c r="L739" s="14"/>
      <c r="O739" s="9"/>
      <c r="P739" s="9"/>
    </row>
    <row r="740">
      <c r="F740" s="14"/>
      <c r="H740" s="14"/>
      <c r="I740" s="14"/>
      <c r="K740" s="14"/>
      <c r="L740" s="14"/>
      <c r="O740" s="9"/>
      <c r="P740" s="9"/>
    </row>
    <row r="741">
      <c r="F741" s="14"/>
      <c r="H741" s="14"/>
      <c r="I741" s="14"/>
      <c r="K741" s="14"/>
      <c r="L741" s="14"/>
      <c r="O741" s="9"/>
      <c r="P741" s="9"/>
    </row>
    <row r="742">
      <c r="F742" s="14"/>
      <c r="H742" s="14"/>
      <c r="I742" s="14"/>
      <c r="K742" s="14"/>
      <c r="L742" s="14"/>
      <c r="O742" s="9"/>
      <c r="P742" s="9"/>
    </row>
    <row r="743">
      <c r="F743" s="14"/>
      <c r="H743" s="14"/>
      <c r="I743" s="14"/>
      <c r="K743" s="14"/>
      <c r="L743" s="14"/>
      <c r="O743" s="9"/>
      <c r="P743" s="9"/>
    </row>
    <row r="744">
      <c r="F744" s="14"/>
      <c r="H744" s="14"/>
      <c r="I744" s="14"/>
      <c r="K744" s="14"/>
      <c r="L744" s="14"/>
      <c r="O744" s="9"/>
      <c r="P744" s="9"/>
    </row>
    <row r="745">
      <c r="F745" s="14"/>
      <c r="H745" s="14"/>
      <c r="I745" s="14"/>
      <c r="K745" s="14"/>
      <c r="L745" s="14"/>
      <c r="O745" s="9"/>
      <c r="P745" s="9"/>
    </row>
    <row r="746">
      <c r="F746" s="14"/>
      <c r="H746" s="14"/>
      <c r="I746" s="14"/>
      <c r="K746" s="14"/>
      <c r="L746" s="14"/>
      <c r="O746" s="9"/>
      <c r="P746" s="9"/>
    </row>
    <row r="747">
      <c r="F747" s="14"/>
      <c r="H747" s="14"/>
      <c r="I747" s="14"/>
      <c r="K747" s="14"/>
      <c r="L747" s="14"/>
      <c r="O747" s="9"/>
      <c r="P747" s="9"/>
    </row>
    <row r="748">
      <c r="F748" s="14"/>
      <c r="H748" s="14"/>
      <c r="I748" s="14"/>
      <c r="K748" s="14"/>
      <c r="L748" s="14"/>
      <c r="O748" s="9"/>
      <c r="P748" s="9"/>
    </row>
    <row r="749">
      <c r="F749" s="14"/>
      <c r="H749" s="14"/>
      <c r="I749" s="14"/>
      <c r="K749" s="14"/>
      <c r="L749" s="14"/>
      <c r="O749" s="9"/>
      <c r="P749" s="9"/>
    </row>
    <row r="750">
      <c r="F750" s="14"/>
      <c r="H750" s="14"/>
      <c r="I750" s="14"/>
      <c r="K750" s="14"/>
      <c r="L750" s="14"/>
      <c r="O750" s="9"/>
      <c r="P750" s="9"/>
    </row>
    <row r="751">
      <c r="F751" s="14"/>
      <c r="H751" s="14"/>
      <c r="I751" s="14"/>
      <c r="K751" s="14"/>
      <c r="L751" s="14"/>
      <c r="O751" s="9"/>
      <c r="P751" s="9"/>
    </row>
    <row r="752">
      <c r="F752" s="14"/>
      <c r="H752" s="14"/>
      <c r="I752" s="14"/>
      <c r="K752" s="14"/>
      <c r="L752" s="14"/>
      <c r="O752" s="9"/>
      <c r="P752" s="9"/>
    </row>
    <row r="753">
      <c r="F753" s="14"/>
      <c r="H753" s="14"/>
      <c r="I753" s="14"/>
      <c r="K753" s="14"/>
      <c r="L753" s="14"/>
      <c r="O753" s="9"/>
      <c r="P753" s="9"/>
    </row>
    <row r="754">
      <c r="F754" s="14"/>
      <c r="H754" s="14"/>
      <c r="I754" s="14"/>
      <c r="K754" s="14"/>
      <c r="L754" s="14"/>
      <c r="O754" s="9"/>
      <c r="P754" s="9"/>
    </row>
    <row r="755">
      <c r="F755" s="14"/>
      <c r="H755" s="14"/>
      <c r="I755" s="14"/>
      <c r="K755" s="14"/>
      <c r="L755" s="14"/>
      <c r="O755" s="9"/>
      <c r="P755" s="9"/>
    </row>
    <row r="756">
      <c r="F756" s="14"/>
      <c r="H756" s="14"/>
      <c r="I756" s="14"/>
      <c r="K756" s="14"/>
      <c r="L756" s="14"/>
      <c r="O756" s="9"/>
      <c r="P756" s="9"/>
    </row>
    <row r="757">
      <c r="F757" s="14"/>
      <c r="H757" s="14"/>
      <c r="I757" s="14"/>
      <c r="K757" s="14"/>
      <c r="L757" s="14"/>
      <c r="O757" s="9"/>
      <c r="P757" s="9"/>
    </row>
    <row r="758">
      <c r="F758" s="14"/>
      <c r="H758" s="14"/>
      <c r="I758" s="14"/>
      <c r="K758" s="14"/>
      <c r="L758" s="14"/>
      <c r="O758" s="9"/>
      <c r="P758" s="9"/>
    </row>
    <row r="759">
      <c r="F759" s="14"/>
      <c r="H759" s="14"/>
      <c r="I759" s="14"/>
      <c r="K759" s="14"/>
      <c r="L759" s="14"/>
      <c r="O759" s="9"/>
      <c r="P759" s="9"/>
    </row>
    <row r="760">
      <c r="F760" s="14"/>
      <c r="H760" s="14"/>
      <c r="I760" s="14"/>
      <c r="K760" s="14"/>
      <c r="L760" s="14"/>
      <c r="O760" s="9"/>
      <c r="P760" s="9"/>
    </row>
    <row r="761">
      <c r="F761" s="14"/>
      <c r="H761" s="14"/>
      <c r="I761" s="14"/>
      <c r="K761" s="14"/>
      <c r="L761" s="14"/>
      <c r="O761" s="9"/>
      <c r="P761" s="9"/>
    </row>
    <row r="762">
      <c r="F762" s="14"/>
      <c r="H762" s="14"/>
      <c r="I762" s="14"/>
      <c r="K762" s="14"/>
      <c r="L762" s="14"/>
      <c r="O762" s="9"/>
      <c r="P762" s="9"/>
    </row>
    <row r="763">
      <c r="F763" s="14"/>
      <c r="H763" s="14"/>
      <c r="I763" s="14"/>
      <c r="K763" s="14"/>
      <c r="L763" s="14"/>
      <c r="O763" s="9"/>
      <c r="P763" s="9"/>
    </row>
    <row r="764">
      <c r="F764" s="14"/>
      <c r="H764" s="14"/>
      <c r="I764" s="14"/>
      <c r="K764" s="14"/>
      <c r="L764" s="14"/>
      <c r="O764" s="9"/>
      <c r="P764" s="9"/>
    </row>
    <row r="765">
      <c r="F765" s="14"/>
      <c r="H765" s="14"/>
      <c r="I765" s="14"/>
      <c r="K765" s="14"/>
      <c r="L765" s="14"/>
      <c r="O765" s="9"/>
      <c r="P765" s="9"/>
    </row>
    <row r="766">
      <c r="F766" s="14"/>
      <c r="H766" s="14"/>
      <c r="I766" s="14"/>
      <c r="K766" s="14"/>
      <c r="L766" s="14"/>
      <c r="O766" s="9"/>
      <c r="P766" s="9"/>
    </row>
    <row r="767">
      <c r="F767" s="14"/>
      <c r="H767" s="14"/>
      <c r="I767" s="14"/>
      <c r="K767" s="14"/>
      <c r="L767" s="14"/>
      <c r="O767" s="9"/>
      <c r="P767" s="9"/>
    </row>
    <row r="768">
      <c r="F768" s="14"/>
      <c r="H768" s="14"/>
      <c r="I768" s="14"/>
      <c r="K768" s="14"/>
      <c r="L768" s="14"/>
      <c r="O768" s="9"/>
      <c r="P768" s="9"/>
    </row>
    <row r="769">
      <c r="F769" s="14"/>
      <c r="H769" s="14"/>
      <c r="I769" s="14"/>
      <c r="K769" s="14"/>
      <c r="L769" s="14"/>
      <c r="O769" s="9"/>
      <c r="P769" s="9"/>
    </row>
    <row r="770">
      <c r="F770" s="14"/>
      <c r="H770" s="14"/>
      <c r="I770" s="14"/>
      <c r="K770" s="14"/>
      <c r="L770" s="14"/>
      <c r="O770" s="9"/>
      <c r="P770" s="9"/>
    </row>
    <row r="771">
      <c r="F771" s="14"/>
      <c r="H771" s="14"/>
      <c r="I771" s="14"/>
      <c r="K771" s="14"/>
      <c r="L771" s="14"/>
      <c r="O771" s="9"/>
      <c r="P771" s="9"/>
    </row>
    <row r="772">
      <c r="F772" s="14"/>
      <c r="H772" s="14"/>
      <c r="I772" s="14"/>
      <c r="K772" s="14"/>
      <c r="L772" s="14"/>
      <c r="O772" s="9"/>
      <c r="P772" s="9"/>
    </row>
    <row r="773">
      <c r="F773" s="14"/>
      <c r="H773" s="14"/>
      <c r="I773" s="14"/>
      <c r="K773" s="14"/>
      <c r="L773" s="14"/>
      <c r="O773" s="9"/>
      <c r="P773" s="9"/>
    </row>
    <row r="774">
      <c r="F774" s="14"/>
      <c r="H774" s="14"/>
      <c r="I774" s="14"/>
      <c r="K774" s="14"/>
      <c r="L774" s="14"/>
      <c r="O774" s="9"/>
      <c r="P774" s="9"/>
    </row>
    <row r="775">
      <c r="F775" s="14"/>
      <c r="H775" s="14"/>
      <c r="I775" s="14"/>
      <c r="K775" s="14"/>
      <c r="L775" s="14"/>
      <c r="O775" s="9"/>
      <c r="P775" s="9"/>
    </row>
    <row r="776">
      <c r="F776" s="14"/>
      <c r="H776" s="14"/>
      <c r="I776" s="14"/>
      <c r="K776" s="14"/>
      <c r="L776" s="14"/>
      <c r="O776" s="9"/>
      <c r="P776" s="9"/>
    </row>
    <row r="777">
      <c r="F777" s="14"/>
      <c r="H777" s="14"/>
      <c r="I777" s="14"/>
      <c r="K777" s="14"/>
      <c r="L777" s="14"/>
      <c r="O777" s="9"/>
      <c r="P777" s="9"/>
    </row>
    <row r="778">
      <c r="F778" s="14"/>
      <c r="H778" s="14"/>
      <c r="I778" s="14"/>
      <c r="K778" s="14"/>
      <c r="L778" s="14"/>
      <c r="O778" s="9"/>
      <c r="P778" s="9"/>
    </row>
    <row r="779">
      <c r="F779" s="14"/>
      <c r="H779" s="14"/>
      <c r="I779" s="14"/>
      <c r="K779" s="14"/>
      <c r="L779" s="14"/>
      <c r="O779" s="9"/>
      <c r="P779" s="9"/>
    </row>
    <row r="780">
      <c r="F780" s="14"/>
      <c r="H780" s="14"/>
      <c r="I780" s="14"/>
      <c r="K780" s="14"/>
      <c r="L780" s="14"/>
      <c r="O780" s="9"/>
      <c r="P780" s="9"/>
    </row>
    <row r="781">
      <c r="F781" s="14"/>
      <c r="H781" s="14"/>
      <c r="I781" s="14"/>
      <c r="K781" s="14"/>
      <c r="L781" s="14"/>
      <c r="O781" s="9"/>
      <c r="P781" s="9"/>
    </row>
    <row r="782">
      <c r="F782" s="14"/>
      <c r="H782" s="14"/>
      <c r="I782" s="14"/>
      <c r="K782" s="14"/>
      <c r="L782" s="14"/>
      <c r="O782" s="9"/>
      <c r="P782" s="9"/>
    </row>
    <row r="783">
      <c r="F783" s="14"/>
      <c r="H783" s="14"/>
      <c r="I783" s="14"/>
      <c r="K783" s="14"/>
      <c r="L783" s="14"/>
      <c r="O783" s="9"/>
      <c r="P783" s="9"/>
    </row>
    <row r="784">
      <c r="F784" s="14"/>
      <c r="H784" s="14"/>
      <c r="I784" s="14"/>
      <c r="K784" s="14"/>
      <c r="L784" s="14"/>
      <c r="O784" s="9"/>
      <c r="P784" s="9"/>
    </row>
    <row r="785">
      <c r="F785" s="14"/>
      <c r="H785" s="14"/>
      <c r="I785" s="14"/>
      <c r="K785" s="14"/>
      <c r="L785" s="14"/>
      <c r="O785" s="9"/>
      <c r="P785" s="9"/>
    </row>
    <row r="786">
      <c r="F786" s="14"/>
      <c r="H786" s="14"/>
      <c r="I786" s="14"/>
      <c r="K786" s="14"/>
      <c r="L786" s="14"/>
      <c r="O786" s="9"/>
      <c r="P786" s="9"/>
    </row>
    <row r="787">
      <c r="F787" s="14"/>
      <c r="H787" s="14"/>
      <c r="I787" s="14"/>
      <c r="K787" s="14"/>
      <c r="L787" s="14"/>
      <c r="O787" s="9"/>
      <c r="P787" s="9"/>
    </row>
    <row r="788">
      <c r="F788" s="14"/>
      <c r="H788" s="14"/>
      <c r="I788" s="14"/>
      <c r="K788" s="14"/>
      <c r="L788" s="14"/>
      <c r="O788" s="9"/>
      <c r="P788" s="9"/>
    </row>
    <row r="789">
      <c r="F789" s="14"/>
      <c r="H789" s="14"/>
      <c r="I789" s="14"/>
      <c r="K789" s="14"/>
      <c r="L789" s="14"/>
      <c r="O789" s="9"/>
      <c r="P789" s="9"/>
    </row>
    <row r="790">
      <c r="F790" s="14"/>
      <c r="H790" s="14"/>
      <c r="I790" s="14"/>
      <c r="K790" s="14"/>
      <c r="L790" s="14"/>
      <c r="O790" s="9"/>
      <c r="P790" s="9"/>
    </row>
    <row r="791">
      <c r="F791" s="14"/>
      <c r="H791" s="14"/>
      <c r="I791" s="14"/>
      <c r="K791" s="14"/>
      <c r="L791" s="14"/>
      <c r="O791" s="9"/>
      <c r="P791" s="9"/>
    </row>
    <row r="792">
      <c r="F792" s="14"/>
      <c r="H792" s="14"/>
      <c r="I792" s="14"/>
      <c r="K792" s="14"/>
      <c r="L792" s="14"/>
      <c r="O792" s="9"/>
      <c r="P792" s="9"/>
    </row>
    <row r="793">
      <c r="F793" s="14"/>
      <c r="H793" s="14"/>
      <c r="I793" s="14"/>
      <c r="K793" s="14"/>
      <c r="L793" s="14"/>
      <c r="O793" s="9"/>
      <c r="P793" s="9"/>
    </row>
    <row r="794">
      <c r="F794" s="14"/>
      <c r="H794" s="14"/>
      <c r="I794" s="14"/>
      <c r="K794" s="14"/>
      <c r="L794" s="14"/>
      <c r="O794" s="9"/>
      <c r="P794" s="9"/>
    </row>
    <row r="795">
      <c r="F795" s="14"/>
      <c r="H795" s="14"/>
      <c r="I795" s="14"/>
      <c r="K795" s="14"/>
      <c r="L795" s="14"/>
      <c r="O795" s="9"/>
      <c r="P795" s="9"/>
    </row>
    <row r="796">
      <c r="F796" s="14"/>
      <c r="H796" s="14"/>
      <c r="I796" s="14"/>
      <c r="K796" s="14"/>
      <c r="L796" s="14"/>
      <c r="O796" s="9"/>
      <c r="P796" s="9"/>
    </row>
    <row r="797">
      <c r="F797" s="14"/>
      <c r="H797" s="14"/>
      <c r="I797" s="14"/>
      <c r="K797" s="14"/>
      <c r="L797" s="14"/>
      <c r="O797" s="9"/>
      <c r="P797" s="9"/>
    </row>
    <row r="798">
      <c r="F798" s="14"/>
      <c r="H798" s="14"/>
      <c r="I798" s="14"/>
      <c r="K798" s="14"/>
      <c r="L798" s="14"/>
      <c r="O798" s="9"/>
      <c r="P798" s="9"/>
    </row>
    <row r="799">
      <c r="F799" s="14"/>
      <c r="H799" s="14"/>
      <c r="I799" s="14"/>
      <c r="K799" s="14"/>
      <c r="L799" s="14"/>
      <c r="O799" s="9"/>
      <c r="P799" s="9"/>
    </row>
    <row r="800">
      <c r="F800" s="14"/>
      <c r="H800" s="14"/>
      <c r="I800" s="14"/>
      <c r="K800" s="14"/>
      <c r="L800" s="14"/>
      <c r="O800" s="9"/>
      <c r="P800" s="9"/>
    </row>
    <row r="801">
      <c r="F801" s="14"/>
      <c r="H801" s="14"/>
      <c r="I801" s="14"/>
      <c r="K801" s="14"/>
      <c r="L801" s="14"/>
      <c r="O801" s="9"/>
      <c r="P801" s="9"/>
    </row>
    <row r="802">
      <c r="F802" s="14"/>
      <c r="H802" s="14"/>
      <c r="I802" s="14"/>
      <c r="K802" s="14"/>
      <c r="L802" s="14"/>
      <c r="O802" s="9"/>
      <c r="P802" s="9"/>
    </row>
    <row r="803">
      <c r="F803" s="14"/>
      <c r="H803" s="14"/>
      <c r="I803" s="14"/>
      <c r="K803" s="14"/>
      <c r="L803" s="14"/>
      <c r="O803" s="9"/>
      <c r="P803" s="9"/>
    </row>
    <row r="804">
      <c r="F804" s="14"/>
      <c r="H804" s="14"/>
      <c r="I804" s="14"/>
      <c r="K804" s="14"/>
      <c r="L804" s="14"/>
      <c r="O804" s="9"/>
      <c r="P804" s="9"/>
    </row>
    <row r="805">
      <c r="F805" s="14"/>
      <c r="H805" s="14"/>
      <c r="I805" s="14"/>
      <c r="K805" s="14"/>
      <c r="L805" s="14"/>
      <c r="O805" s="9"/>
      <c r="P805" s="9"/>
    </row>
    <row r="806">
      <c r="F806" s="14"/>
      <c r="H806" s="14"/>
      <c r="I806" s="14"/>
      <c r="K806" s="14"/>
      <c r="L806" s="14"/>
      <c r="O806" s="9"/>
      <c r="P806" s="9"/>
    </row>
    <row r="807">
      <c r="F807" s="14"/>
      <c r="H807" s="14"/>
      <c r="I807" s="14"/>
      <c r="K807" s="14"/>
      <c r="L807" s="14"/>
      <c r="O807" s="9"/>
      <c r="P807" s="9"/>
    </row>
    <row r="808">
      <c r="F808" s="14"/>
      <c r="H808" s="14"/>
      <c r="I808" s="14"/>
      <c r="K808" s="14"/>
      <c r="L808" s="14"/>
      <c r="O808" s="9"/>
      <c r="P808" s="9"/>
    </row>
    <row r="809">
      <c r="F809" s="14"/>
      <c r="H809" s="14"/>
      <c r="I809" s="14"/>
      <c r="K809" s="14"/>
      <c r="L809" s="14"/>
      <c r="O809" s="9"/>
      <c r="P809" s="9"/>
    </row>
    <row r="810">
      <c r="F810" s="14"/>
      <c r="H810" s="14"/>
      <c r="I810" s="14"/>
      <c r="K810" s="14"/>
      <c r="L810" s="14"/>
      <c r="O810" s="9"/>
      <c r="P810" s="9"/>
    </row>
    <row r="811">
      <c r="F811" s="14"/>
      <c r="H811" s="14"/>
      <c r="I811" s="14"/>
      <c r="K811" s="14"/>
      <c r="L811" s="14"/>
      <c r="O811" s="9"/>
      <c r="P811" s="9"/>
    </row>
    <row r="812">
      <c r="F812" s="14"/>
      <c r="H812" s="14"/>
      <c r="I812" s="14"/>
      <c r="K812" s="14"/>
      <c r="L812" s="14"/>
      <c r="O812" s="9"/>
      <c r="P812" s="9"/>
    </row>
    <row r="813">
      <c r="F813" s="14"/>
      <c r="H813" s="14"/>
      <c r="I813" s="14"/>
      <c r="K813" s="14"/>
      <c r="L813" s="14"/>
      <c r="O813" s="9"/>
      <c r="P813" s="9"/>
    </row>
    <row r="814">
      <c r="F814" s="14"/>
      <c r="H814" s="14"/>
      <c r="I814" s="14"/>
      <c r="K814" s="14"/>
      <c r="L814" s="14"/>
      <c r="O814" s="9"/>
      <c r="P814" s="9"/>
    </row>
    <row r="815">
      <c r="F815" s="14"/>
      <c r="H815" s="14"/>
      <c r="I815" s="14"/>
      <c r="K815" s="14"/>
      <c r="L815" s="14"/>
      <c r="O815" s="9"/>
      <c r="P815" s="9"/>
    </row>
    <row r="816">
      <c r="F816" s="14"/>
      <c r="H816" s="14"/>
      <c r="I816" s="14"/>
      <c r="K816" s="14"/>
      <c r="L816" s="14"/>
      <c r="O816" s="9"/>
      <c r="P816" s="9"/>
    </row>
    <row r="817">
      <c r="F817" s="14"/>
      <c r="H817" s="14"/>
      <c r="I817" s="14"/>
      <c r="K817" s="14"/>
      <c r="L817" s="14"/>
      <c r="O817" s="9"/>
      <c r="P817" s="9"/>
    </row>
    <row r="818">
      <c r="F818" s="14"/>
      <c r="H818" s="14"/>
      <c r="I818" s="14"/>
      <c r="K818" s="14"/>
      <c r="L818" s="14"/>
      <c r="O818" s="9"/>
      <c r="P818" s="9"/>
    </row>
    <row r="819">
      <c r="F819" s="14"/>
      <c r="H819" s="14"/>
      <c r="I819" s="14"/>
      <c r="K819" s="14"/>
      <c r="L819" s="14"/>
      <c r="O819" s="9"/>
      <c r="P819" s="9"/>
    </row>
    <row r="820">
      <c r="F820" s="14"/>
      <c r="H820" s="14"/>
      <c r="I820" s="14"/>
      <c r="K820" s="14"/>
      <c r="L820" s="14"/>
      <c r="O820" s="9"/>
      <c r="P820" s="9"/>
    </row>
    <row r="821">
      <c r="F821" s="14"/>
      <c r="H821" s="14"/>
      <c r="I821" s="14"/>
      <c r="K821" s="14"/>
      <c r="L821" s="14"/>
      <c r="O821" s="9"/>
      <c r="P821" s="9"/>
    </row>
    <row r="822">
      <c r="F822" s="14"/>
      <c r="H822" s="14"/>
      <c r="I822" s="14"/>
      <c r="K822" s="14"/>
      <c r="L822" s="14"/>
      <c r="O822" s="9"/>
      <c r="P822" s="9"/>
    </row>
    <row r="823">
      <c r="F823" s="14"/>
      <c r="H823" s="14"/>
      <c r="I823" s="14"/>
      <c r="K823" s="14"/>
      <c r="L823" s="14"/>
      <c r="O823" s="9"/>
      <c r="P823" s="9"/>
    </row>
    <row r="824">
      <c r="F824" s="14"/>
      <c r="H824" s="14"/>
      <c r="I824" s="14"/>
      <c r="K824" s="14"/>
      <c r="L824" s="14"/>
      <c r="O824" s="9"/>
      <c r="P824" s="9"/>
    </row>
    <row r="825">
      <c r="F825" s="14"/>
      <c r="H825" s="14"/>
      <c r="I825" s="14"/>
      <c r="K825" s="14"/>
      <c r="L825" s="14"/>
      <c r="O825" s="9"/>
      <c r="P825" s="9"/>
    </row>
    <row r="826">
      <c r="F826" s="14"/>
      <c r="H826" s="14"/>
      <c r="I826" s="14"/>
      <c r="K826" s="14"/>
      <c r="L826" s="14"/>
      <c r="O826" s="9"/>
      <c r="P826" s="9"/>
    </row>
    <row r="827">
      <c r="F827" s="14"/>
      <c r="H827" s="14"/>
      <c r="I827" s="14"/>
      <c r="K827" s="14"/>
      <c r="L827" s="14"/>
      <c r="O827" s="9"/>
      <c r="P827" s="9"/>
    </row>
    <row r="828">
      <c r="F828" s="14"/>
      <c r="H828" s="14"/>
      <c r="I828" s="14"/>
      <c r="K828" s="14"/>
      <c r="L828" s="14"/>
      <c r="O828" s="9"/>
      <c r="P828" s="9"/>
    </row>
    <row r="829">
      <c r="F829" s="14"/>
      <c r="H829" s="14"/>
      <c r="I829" s="14"/>
      <c r="K829" s="14"/>
      <c r="L829" s="14"/>
      <c r="O829" s="9"/>
      <c r="P829" s="9"/>
    </row>
    <row r="830">
      <c r="F830" s="14"/>
      <c r="H830" s="14"/>
      <c r="I830" s="14"/>
      <c r="K830" s="14"/>
      <c r="L830" s="14"/>
      <c r="O830" s="9"/>
      <c r="P830" s="9"/>
    </row>
    <row r="831">
      <c r="F831" s="14"/>
      <c r="H831" s="14"/>
      <c r="I831" s="14"/>
      <c r="K831" s="14"/>
      <c r="L831" s="14"/>
      <c r="O831" s="9"/>
      <c r="P831" s="9"/>
    </row>
    <row r="832">
      <c r="F832" s="14"/>
      <c r="H832" s="14"/>
      <c r="I832" s="14"/>
      <c r="K832" s="14"/>
      <c r="L832" s="14"/>
      <c r="O832" s="9"/>
      <c r="P832" s="9"/>
    </row>
    <row r="833">
      <c r="F833" s="14"/>
      <c r="H833" s="14"/>
      <c r="I833" s="14"/>
      <c r="K833" s="14"/>
      <c r="L833" s="14"/>
      <c r="O833" s="9"/>
      <c r="P833" s="9"/>
    </row>
    <row r="834">
      <c r="F834" s="14"/>
      <c r="H834" s="14"/>
      <c r="I834" s="14"/>
      <c r="K834" s="14"/>
      <c r="L834" s="14"/>
      <c r="O834" s="9"/>
      <c r="P834" s="9"/>
    </row>
    <row r="835">
      <c r="F835" s="14"/>
      <c r="H835" s="14"/>
      <c r="I835" s="14"/>
      <c r="K835" s="14"/>
      <c r="L835" s="14"/>
      <c r="O835" s="9"/>
      <c r="P835" s="9"/>
    </row>
    <row r="836">
      <c r="F836" s="14"/>
      <c r="H836" s="14"/>
      <c r="I836" s="14"/>
      <c r="K836" s="14"/>
      <c r="L836" s="14"/>
      <c r="O836" s="9"/>
      <c r="P836" s="9"/>
    </row>
    <row r="837">
      <c r="F837" s="14"/>
      <c r="H837" s="14"/>
      <c r="I837" s="14"/>
      <c r="K837" s="14"/>
      <c r="L837" s="14"/>
      <c r="O837" s="9"/>
      <c r="P837" s="9"/>
    </row>
    <row r="838">
      <c r="F838" s="14"/>
      <c r="H838" s="14"/>
      <c r="I838" s="14"/>
      <c r="K838" s="14"/>
      <c r="L838" s="14"/>
      <c r="O838" s="9"/>
      <c r="P838" s="9"/>
    </row>
    <row r="839">
      <c r="F839" s="14"/>
      <c r="H839" s="14"/>
      <c r="I839" s="14"/>
      <c r="K839" s="14"/>
      <c r="L839" s="14"/>
      <c r="O839" s="9"/>
      <c r="P839" s="9"/>
    </row>
    <row r="840">
      <c r="F840" s="14"/>
      <c r="H840" s="14"/>
      <c r="I840" s="14"/>
      <c r="K840" s="14"/>
      <c r="L840" s="14"/>
      <c r="O840" s="9"/>
      <c r="P840" s="9"/>
    </row>
    <row r="841">
      <c r="F841" s="14"/>
      <c r="H841" s="14"/>
      <c r="I841" s="14"/>
      <c r="K841" s="14"/>
      <c r="L841" s="14"/>
      <c r="O841" s="9"/>
      <c r="P841" s="9"/>
    </row>
    <row r="842">
      <c r="F842" s="14"/>
      <c r="H842" s="14"/>
      <c r="I842" s="14"/>
      <c r="K842" s="14"/>
      <c r="L842" s="14"/>
      <c r="O842" s="9"/>
      <c r="P842" s="9"/>
    </row>
    <row r="843">
      <c r="F843" s="14"/>
      <c r="H843" s="14"/>
      <c r="I843" s="14"/>
      <c r="K843" s="14"/>
      <c r="L843" s="14"/>
      <c r="O843" s="9"/>
      <c r="P843" s="9"/>
    </row>
    <row r="844">
      <c r="F844" s="14"/>
      <c r="H844" s="14"/>
      <c r="I844" s="14"/>
      <c r="K844" s="14"/>
      <c r="L844" s="14"/>
      <c r="O844" s="9"/>
      <c r="P844" s="9"/>
    </row>
    <row r="845">
      <c r="F845" s="14"/>
      <c r="H845" s="14"/>
      <c r="I845" s="14"/>
      <c r="K845" s="14"/>
      <c r="L845" s="14"/>
      <c r="O845" s="9"/>
      <c r="P845" s="9"/>
    </row>
    <row r="846">
      <c r="F846" s="14"/>
      <c r="H846" s="14"/>
      <c r="I846" s="14"/>
      <c r="K846" s="14"/>
      <c r="L846" s="14"/>
      <c r="O846" s="9"/>
      <c r="P846" s="9"/>
    </row>
    <row r="847">
      <c r="F847" s="14"/>
      <c r="H847" s="14"/>
      <c r="I847" s="14"/>
      <c r="K847" s="14"/>
      <c r="L847" s="14"/>
      <c r="O847" s="9"/>
      <c r="P847" s="9"/>
    </row>
    <row r="848">
      <c r="F848" s="14"/>
      <c r="H848" s="14"/>
      <c r="I848" s="14"/>
      <c r="K848" s="14"/>
      <c r="L848" s="14"/>
      <c r="O848" s="9"/>
      <c r="P848" s="9"/>
    </row>
    <row r="849">
      <c r="F849" s="14"/>
      <c r="H849" s="14"/>
      <c r="I849" s="14"/>
      <c r="K849" s="14"/>
      <c r="L849" s="14"/>
      <c r="O849" s="9"/>
      <c r="P849" s="9"/>
    </row>
    <row r="850">
      <c r="F850" s="14"/>
      <c r="H850" s="14"/>
      <c r="I850" s="14"/>
      <c r="K850" s="14"/>
      <c r="L850" s="14"/>
      <c r="O850" s="9"/>
      <c r="P850" s="9"/>
    </row>
    <row r="851">
      <c r="F851" s="14"/>
      <c r="H851" s="14"/>
      <c r="I851" s="14"/>
      <c r="K851" s="14"/>
      <c r="L851" s="14"/>
      <c r="O851" s="9"/>
      <c r="P851" s="9"/>
    </row>
    <row r="852">
      <c r="F852" s="14"/>
      <c r="H852" s="14"/>
      <c r="I852" s="14"/>
      <c r="K852" s="14"/>
      <c r="L852" s="14"/>
      <c r="O852" s="9"/>
      <c r="P852" s="9"/>
    </row>
    <row r="853">
      <c r="F853" s="14"/>
      <c r="H853" s="14"/>
      <c r="I853" s="14"/>
      <c r="K853" s="14"/>
      <c r="L853" s="14"/>
      <c r="O853" s="9"/>
      <c r="P853" s="9"/>
    </row>
    <row r="854">
      <c r="F854" s="14"/>
      <c r="H854" s="14"/>
      <c r="I854" s="14"/>
      <c r="K854" s="14"/>
      <c r="L854" s="14"/>
      <c r="O854" s="9"/>
      <c r="P854" s="9"/>
    </row>
    <row r="855">
      <c r="F855" s="14"/>
      <c r="H855" s="14"/>
      <c r="I855" s="14"/>
      <c r="K855" s="14"/>
      <c r="L855" s="14"/>
      <c r="O855" s="9"/>
      <c r="P855" s="9"/>
    </row>
    <row r="856">
      <c r="F856" s="14"/>
      <c r="H856" s="14"/>
      <c r="I856" s="14"/>
      <c r="K856" s="14"/>
      <c r="L856" s="14"/>
      <c r="O856" s="9"/>
      <c r="P856" s="9"/>
    </row>
    <row r="857">
      <c r="F857" s="14"/>
      <c r="H857" s="14"/>
      <c r="I857" s="14"/>
      <c r="K857" s="14"/>
      <c r="L857" s="14"/>
      <c r="O857" s="9"/>
      <c r="P857" s="9"/>
    </row>
    <row r="858">
      <c r="F858" s="14"/>
      <c r="H858" s="14"/>
      <c r="I858" s="14"/>
      <c r="K858" s="14"/>
      <c r="L858" s="14"/>
      <c r="O858" s="9"/>
      <c r="P858" s="9"/>
    </row>
    <row r="859">
      <c r="F859" s="14"/>
      <c r="H859" s="14"/>
      <c r="I859" s="14"/>
      <c r="K859" s="14"/>
      <c r="L859" s="14"/>
      <c r="O859" s="9"/>
      <c r="P859" s="9"/>
    </row>
    <row r="860">
      <c r="F860" s="14"/>
      <c r="H860" s="14"/>
      <c r="I860" s="14"/>
      <c r="K860" s="14"/>
      <c r="L860" s="14"/>
      <c r="O860" s="9"/>
      <c r="P860" s="9"/>
    </row>
    <row r="861">
      <c r="F861" s="14"/>
      <c r="H861" s="14"/>
      <c r="I861" s="14"/>
      <c r="K861" s="14"/>
      <c r="L861" s="14"/>
      <c r="O861" s="9"/>
      <c r="P861" s="9"/>
    </row>
    <row r="862">
      <c r="F862" s="14"/>
      <c r="H862" s="14"/>
      <c r="I862" s="14"/>
      <c r="K862" s="14"/>
      <c r="L862" s="14"/>
      <c r="O862" s="9"/>
      <c r="P862" s="9"/>
    </row>
    <row r="863">
      <c r="F863" s="14"/>
      <c r="H863" s="14"/>
      <c r="I863" s="14"/>
      <c r="K863" s="14"/>
      <c r="L863" s="14"/>
      <c r="O863" s="9"/>
      <c r="P863" s="9"/>
    </row>
    <row r="864">
      <c r="F864" s="14"/>
      <c r="H864" s="14"/>
      <c r="I864" s="14"/>
      <c r="K864" s="14"/>
      <c r="L864" s="14"/>
      <c r="O864" s="9"/>
      <c r="P864" s="9"/>
    </row>
    <row r="865">
      <c r="F865" s="14"/>
      <c r="H865" s="14"/>
      <c r="I865" s="14"/>
      <c r="K865" s="14"/>
      <c r="L865" s="14"/>
      <c r="O865" s="9"/>
      <c r="P865" s="9"/>
    </row>
    <row r="866">
      <c r="F866" s="14"/>
      <c r="H866" s="14"/>
      <c r="I866" s="14"/>
      <c r="K866" s="14"/>
      <c r="L866" s="14"/>
      <c r="O866" s="9"/>
      <c r="P866" s="9"/>
    </row>
    <row r="867">
      <c r="F867" s="14"/>
      <c r="H867" s="14"/>
      <c r="I867" s="14"/>
      <c r="K867" s="14"/>
      <c r="L867" s="14"/>
      <c r="O867" s="9"/>
      <c r="P867" s="9"/>
    </row>
    <row r="868">
      <c r="F868" s="14"/>
      <c r="H868" s="14"/>
      <c r="I868" s="14"/>
      <c r="K868" s="14"/>
      <c r="L868" s="14"/>
      <c r="O868" s="9"/>
      <c r="P868" s="9"/>
    </row>
    <row r="869">
      <c r="F869" s="14"/>
      <c r="H869" s="14"/>
      <c r="I869" s="14"/>
      <c r="K869" s="14"/>
      <c r="L869" s="14"/>
      <c r="O869" s="9"/>
      <c r="P869" s="9"/>
    </row>
    <row r="870">
      <c r="F870" s="14"/>
      <c r="H870" s="14"/>
      <c r="I870" s="14"/>
      <c r="K870" s="14"/>
      <c r="L870" s="14"/>
      <c r="O870" s="9"/>
      <c r="P870" s="9"/>
    </row>
    <row r="871">
      <c r="F871" s="14"/>
      <c r="H871" s="14"/>
      <c r="I871" s="14"/>
      <c r="K871" s="14"/>
      <c r="L871" s="14"/>
      <c r="O871" s="9"/>
      <c r="P871" s="9"/>
    </row>
    <row r="872">
      <c r="F872" s="14"/>
      <c r="H872" s="14"/>
      <c r="I872" s="14"/>
      <c r="K872" s="14"/>
      <c r="L872" s="14"/>
      <c r="O872" s="9"/>
      <c r="P872" s="9"/>
    </row>
    <row r="873">
      <c r="F873" s="14"/>
      <c r="H873" s="14"/>
      <c r="I873" s="14"/>
      <c r="K873" s="14"/>
      <c r="L873" s="14"/>
      <c r="O873" s="9"/>
      <c r="P873" s="9"/>
    </row>
    <row r="874">
      <c r="F874" s="14"/>
      <c r="H874" s="14"/>
      <c r="I874" s="14"/>
      <c r="K874" s="14"/>
      <c r="L874" s="14"/>
      <c r="O874" s="9"/>
      <c r="P874" s="9"/>
    </row>
    <row r="875">
      <c r="F875" s="14"/>
      <c r="H875" s="14"/>
      <c r="I875" s="14"/>
      <c r="K875" s="14"/>
      <c r="L875" s="14"/>
      <c r="O875" s="9"/>
      <c r="P875" s="9"/>
    </row>
    <row r="876">
      <c r="F876" s="14"/>
      <c r="H876" s="14"/>
      <c r="I876" s="14"/>
      <c r="K876" s="14"/>
      <c r="L876" s="14"/>
      <c r="O876" s="9"/>
      <c r="P876" s="9"/>
    </row>
    <row r="877">
      <c r="F877" s="14"/>
      <c r="H877" s="14"/>
      <c r="I877" s="14"/>
      <c r="K877" s="14"/>
      <c r="L877" s="14"/>
      <c r="O877" s="9"/>
      <c r="P877" s="9"/>
    </row>
    <row r="878">
      <c r="F878" s="14"/>
      <c r="H878" s="14"/>
      <c r="I878" s="14"/>
      <c r="K878" s="14"/>
      <c r="L878" s="14"/>
      <c r="O878" s="9"/>
      <c r="P878" s="9"/>
    </row>
    <row r="879">
      <c r="F879" s="14"/>
      <c r="H879" s="14"/>
      <c r="I879" s="14"/>
      <c r="K879" s="14"/>
      <c r="L879" s="14"/>
      <c r="O879" s="9"/>
      <c r="P879" s="9"/>
    </row>
    <row r="880">
      <c r="F880" s="14"/>
      <c r="H880" s="14"/>
      <c r="I880" s="14"/>
      <c r="K880" s="14"/>
      <c r="L880" s="14"/>
      <c r="O880" s="9"/>
      <c r="P880" s="9"/>
    </row>
    <row r="881">
      <c r="F881" s="14"/>
      <c r="H881" s="14"/>
      <c r="I881" s="14"/>
      <c r="K881" s="14"/>
      <c r="L881" s="14"/>
      <c r="O881" s="9"/>
      <c r="P881" s="9"/>
    </row>
    <row r="882">
      <c r="F882" s="14"/>
      <c r="H882" s="14"/>
      <c r="I882" s="14"/>
      <c r="K882" s="14"/>
      <c r="L882" s="14"/>
      <c r="O882" s="9"/>
      <c r="P882" s="9"/>
    </row>
    <row r="883">
      <c r="F883" s="14"/>
      <c r="H883" s="14"/>
      <c r="I883" s="14"/>
      <c r="K883" s="14"/>
      <c r="L883" s="14"/>
      <c r="O883" s="9"/>
      <c r="P883" s="9"/>
    </row>
    <row r="884">
      <c r="F884" s="14"/>
      <c r="H884" s="14"/>
      <c r="I884" s="14"/>
      <c r="K884" s="14"/>
      <c r="L884" s="14"/>
      <c r="O884" s="9"/>
      <c r="P884" s="9"/>
    </row>
    <row r="885">
      <c r="F885" s="14"/>
      <c r="H885" s="14"/>
      <c r="I885" s="14"/>
      <c r="K885" s="14"/>
      <c r="L885" s="14"/>
      <c r="O885" s="9"/>
      <c r="P885" s="9"/>
    </row>
    <row r="886">
      <c r="F886" s="14"/>
      <c r="H886" s="14"/>
      <c r="I886" s="14"/>
      <c r="K886" s="14"/>
      <c r="L886" s="14"/>
      <c r="O886" s="9"/>
      <c r="P886" s="9"/>
    </row>
    <row r="887">
      <c r="F887" s="14"/>
      <c r="H887" s="14"/>
      <c r="I887" s="14"/>
      <c r="K887" s="14"/>
      <c r="L887" s="14"/>
      <c r="O887" s="9"/>
      <c r="P887" s="9"/>
    </row>
    <row r="888">
      <c r="F888" s="14"/>
      <c r="H888" s="14"/>
      <c r="I888" s="14"/>
      <c r="K888" s="14"/>
      <c r="L888" s="14"/>
      <c r="O888" s="9"/>
      <c r="P888" s="9"/>
    </row>
    <row r="889">
      <c r="F889" s="14"/>
      <c r="H889" s="14"/>
      <c r="I889" s="14"/>
      <c r="K889" s="14"/>
      <c r="L889" s="14"/>
      <c r="O889" s="9"/>
      <c r="P889" s="9"/>
    </row>
    <row r="890">
      <c r="F890" s="14"/>
      <c r="H890" s="14"/>
      <c r="I890" s="14"/>
      <c r="K890" s="14"/>
      <c r="L890" s="14"/>
      <c r="O890" s="9"/>
      <c r="P890" s="9"/>
    </row>
    <row r="891">
      <c r="F891" s="14"/>
      <c r="H891" s="14"/>
      <c r="I891" s="14"/>
      <c r="K891" s="14"/>
      <c r="L891" s="14"/>
      <c r="O891" s="9"/>
      <c r="P891" s="9"/>
    </row>
    <row r="892">
      <c r="F892" s="14"/>
      <c r="H892" s="14"/>
      <c r="I892" s="14"/>
      <c r="K892" s="14"/>
      <c r="L892" s="14"/>
      <c r="O892" s="9"/>
      <c r="P892" s="9"/>
    </row>
    <row r="893">
      <c r="F893" s="14"/>
      <c r="H893" s="14"/>
      <c r="I893" s="14"/>
      <c r="K893" s="14"/>
      <c r="L893" s="14"/>
      <c r="O893" s="9"/>
      <c r="P893" s="9"/>
    </row>
    <row r="894">
      <c r="F894" s="14"/>
      <c r="H894" s="14"/>
      <c r="I894" s="14"/>
      <c r="K894" s="14"/>
      <c r="L894" s="14"/>
      <c r="O894" s="9"/>
      <c r="P894" s="9"/>
    </row>
    <row r="895">
      <c r="F895" s="14"/>
      <c r="H895" s="14"/>
      <c r="I895" s="14"/>
      <c r="K895" s="14"/>
      <c r="L895" s="14"/>
      <c r="O895" s="9"/>
      <c r="P895" s="9"/>
    </row>
    <row r="896">
      <c r="F896" s="14"/>
      <c r="H896" s="14"/>
      <c r="I896" s="14"/>
      <c r="K896" s="14"/>
      <c r="L896" s="14"/>
      <c r="O896" s="9"/>
      <c r="P896" s="9"/>
    </row>
    <row r="897">
      <c r="F897" s="14"/>
      <c r="H897" s="14"/>
      <c r="I897" s="14"/>
      <c r="K897" s="14"/>
      <c r="L897" s="14"/>
      <c r="O897" s="9"/>
      <c r="P897" s="9"/>
    </row>
    <row r="898">
      <c r="F898" s="14"/>
      <c r="H898" s="14"/>
      <c r="I898" s="14"/>
      <c r="K898" s="14"/>
      <c r="L898" s="14"/>
      <c r="O898" s="9"/>
      <c r="P898" s="9"/>
    </row>
    <row r="899">
      <c r="F899" s="14"/>
      <c r="H899" s="14"/>
      <c r="I899" s="14"/>
      <c r="K899" s="14"/>
      <c r="L899" s="14"/>
      <c r="O899" s="9"/>
      <c r="P899" s="9"/>
    </row>
    <row r="900">
      <c r="F900" s="14"/>
      <c r="H900" s="14"/>
      <c r="I900" s="14"/>
      <c r="K900" s="14"/>
      <c r="L900" s="14"/>
      <c r="O900" s="9"/>
      <c r="P900" s="9"/>
    </row>
    <row r="901">
      <c r="F901" s="14"/>
      <c r="H901" s="14"/>
      <c r="I901" s="14"/>
      <c r="K901" s="14"/>
      <c r="L901" s="14"/>
      <c r="O901" s="9"/>
      <c r="P901" s="9"/>
    </row>
    <row r="902">
      <c r="F902" s="14"/>
      <c r="H902" s="14"/>
      <c r="I902" s="14"/>
      <c r="K902" s="14"/>
      <c r="L902" s="14"/>
      <c r="O902" s="9"/>
      <c r="P902" s="9"/>
    </row>
    <row r="903">
      <c r="F903" s="14"/>
      <c r="H903" s="14"/>
      <c r="I903" s="14"/>
      <c r="K903" s="14"/>
      <c r="L903" s="14"/>
      <c r="O903" s="9"/>
      <c r="P903" s="9"/>
    </row>
    <row r="904">
      <c r="F904" s="14"/>
      <c r="H904" s="14"/>
      <c r="I904" s="14"/>
      <c r="K904" s="14"/>
      <c r="L904" s="14"/>
      <c r="O904" s="9"/>
      <c r="P904" s="9"/>
    </row>
    <row r="905">
      <c r="F905" s="14"/>
      <c r="H905" s="14"/>
      <c r="I905" s="14"/>
      <c r="K905" s="14"/>
      <c r="L905" s="14"/>
      <c r="O905" s="9"/>
      <c r="P905" s="9"/>
    </row>
    <row r="906">
      <c r="F906" s="14"/>
      <c r="H906" s="14"/>
      <c r="I906" s="14"/>
      <c r="K906" s="14"/>
      <c r="L906" s="14"/>
      <c r="O906" s="9"/>
      <c r="P906" s="9"/>
    </row>
    <row r="907">
      <c r="F907" s="14"/>
      <c r="H907" s="14"/>
      <c r="I907" s="14"/>
      <c r="K907" s="14"/>
      <c r="L907" s="14"/>
      <c r="O907" s="9"/>
      <c r="P907" s="9"/>
    </row>
    <row r="908">
      <c r="F908" s="14"/>
      <c r="H908" s="14"/>
      <c r="I908" s="14"/>
      <c r="K908" s="14"/>
      <c r="L908" s="14"/>
      <c r="O908" s="9"/>
      <c r="P908" s="9"/>
    </row>
    <row r="909">
      <c r="F909" s="14"/>
      <c r="H909" s="14"/>
      <c r="I909" s="14"/>
      <c r="K909" s="14"/>
      <c r="L909" s="14"/>
      <c r="O909" s="9"/>
      <c r="P909" s="9"/>
    </row>
    <row r="910">
      <c r="F910" s="14"/>
      <c r="H910" s="14"/>
      <c r="I910" s="14"/>
      <c r="K910" s="14"/>
      <c r="L910" s="14"/>
      <c r="O910" s="9"/>
      <c r="P910" s="9"/>
    </row>
    <row r="911">
      <c r="F911" s="14"/>
      <c r="H911" s="14"/>
      <c r="I911" s="14"/>
      <c r="K911" s="14"/>
      <c r="L911" s="14"/>
      <c r="O911" s="9"/>
      <c r="P911" s="9"/>
    </row>
    <row r="912">
      <c r="F912" s="14"/>
      <c r="H912" s="14"/>
      <c r="I912" s="14"/>
      <c r="K912" s="14"/>
      <c r="L912" s="14"/>
      <c r="O912" s="9"/>
      <c r="P912" s="9"/>
    </row>
    <row r="913">
      <c r="F913" s="14"/>
      <c r="H913" s="14"/>
      <c r="I913" s="14"/>
      <c r="K913" s="14"/>
      <c r="L913" s="14"/>
      <c r="O913" s="9"/>
      <c r="P913" s="9"/>
    </row>
    <row r="914">
      <c r="F914" s="14"/>
      <c r="H914" s="14"/>
      <c r="I914" s="14"/>
      <c r="K914" s="14"/>
      <c r="L914" s="14"/>
      <c r="O914" s="9"/>
      <c r="P914" s="9"/>
    </row>
    <row r="915">
      <c r="F915" s="14"/>
      <c r="H915" s="14"/>
      <c r="I915" s="14"/>
      <c r="K915" s="14"/>
      <c r="L915" s="14"/>
      <c r="O915" s="9"/>
      <c r="P915" s="9"/>
    </row>
    <row r="916">
      <c r="F916" s="14"/>
      <c r="H916" s="14"/>
      <c r="I916" s="14"/>
      <c r="K916" s="14"/>
      <c r="L916" s="14"/>
      <c r="O916" s="9"/>
      <c r="P916" s="9"/>
    </row>
    <row r="917">
      <c r="F917" s="14"/>
      <c r="H917" s="14"/>
      <c r="I917" s="14"/>
      <c r="K917" s="14"/>
      <c r="L917" s="14"/>
      <c r="O917" s="9"/>
      <c r="P917" s="9"/>
    </row>
    <row r="918">
      <c r="F918" s="14"/>
      <c r="H918" s="14"/>
      <c r="I918" s="14"/>
      <c r="K918" s="14"/>
      <c r="L918" s="14"/>
      <c r="O918" s="9"/>
      <c r="P918" s="9"/>
    </row>
    <row r="919">
      <c r="F919" s="14"/>
      <c r="H919" s="14"/>
      <c r="I919" s="14"/>
      <c r="K919" s="14"/>
      <c r="L919" s="14"/>
      <c r="O919" s="9"/>
      <c r="P919" s="9"/>
    </row>
    <row r="920">
      <c r="F920" s="14"/>
      <c r="H920" s="14"/>
      <c r="I920" s="14"/>
      <c r="K920" s="14"/>
      <c r="L920" s="14"/>
      <c r="O920" s="9"/>
      <c r="P920" s="9"/>
    </row>
    <row r="921">
      <c r="F921" s="14"/>
      <c r="H921" s="14"/>
      <c r="I921" s="14"/>
      <c r="K921" s="14"/>
      <c r="L921" s="14"/>
      <c r="O921" s="9"/>
      <c r="P921" s="9"/>
    </row>
    <row r="922">
      <c r="F922" s="14"/>
      <c r="H922" s="14"/>
      <c r="I922" s="14"/>
      <c r="K922" s="14"/>
      <c r="L922" s="14"/>
      <c r="O922" s="9"/>
      <c r="P922" s="9"/>
    </row>
    <row r="923">
      <c r="F923" s="14"/>
      <c r="H923" s="14"/>
      <c r="I923" s="14"/>
      <c r="K923" s="14"/>
      <c r="L923" s="14"/>
      <c r="O923" s="9"/>
      <c r="P923" s="9"/>
    </row>
    <row r="924">
      <c r="F924" s="14"/>
      <c r="H924" s="14"/>
      <c r="I924" s="14"/>
      <c r="K924" s="14"/>
      <c r="L924" s="14"/>
      <c r="O924" s="9"/>
      <c r="P924" s="9"/>
    </row>
    <row r="925">
      <c r="F925" s="14"/>
      <c r="H925" s="14"/>
      <c r="I925" s="14"/>
      <c r="K925" s="14"/>
      <c r="L925" s="14"/>
      <c r="O925" s="9"/>
      <c r="P925" s="9"/>
    </row>
    <row r="926">
      <c r="F926" s="14"/>
      <c r="H926" s="14"/>
      <c r="I926" s="14"/>
      <c r="K926" s="14"/>
      <c r="L926" s="14"/>
      <c r="O926" s="9"/>
      <c r="P926" s="9"/>
    </row>
    <row r="927">
      <c r="F927" s="14"/>
      <c r="H927" s="14"/>
      <c r="I927" s="14"/>
      <c r="K927" s="14"/>
      <c r="L927" s="14"/>
      <c r="O927" s="9"/>
      <c r="P927" s="9"/>
    </row>
    <row r="928">
      <c r="F928" s="14"/>
      <c r="H928" s="14"/>
      <c r="I928" s="14"/>
      <c r="K928" s="14"/>
      <c r="L928" s="14"/>
      <c r="O928" s="9"/>
      <c r="P928" s="9"/>
    </row>
    <row r="929">
      <c r="F929" s="14"/>
      <c r="H929" s="14"/>
      <c r="I929" s="14"/>
      <c r="K929" s="14"/>
      <c r="L929" s="14"/>
      <c r="O929" s="9"/>
      <c r="P929" s="9"/>
    </row>
    <row r="930">
      <c r="F930" s="14"/>
      <c r="H930" s="14"/>
      <c r="I930" s="14"/>
      <c r="K930" s="14"/>
      <c r="L930" s="14"/>
      <c r="O930" s="9"/>
      <c r="P930" s="9"/>
    </row>
    <row r="931">
      <c r="F931" s="14"/>
      <c r="H931" s="14"/>
      <c r="I931" s="14"/>
      <c r="K931" s="14"/>
      <c r="L931" s="14"/>
      <c r="O931" s="9"/>
      <c r="P931" s="9"/>
    </row>
    <row r="932">
      <c r="F932" s="14"/>
      <c r="H932" s="14"/>
      <c r="I932" s="14"/>
      <c r="K932" s="14"/>
      <c r="L932" s="14"/>
      <c r="O932" s="9"/>
      <c r="P932" s="9"/>
    </row>
    <row r="933">
      <c r="F933" s="14"/>
      <c r="H933" s="14"/>
      <c r="I933" s="14"/>
      <c r="K933" s="14"/>
      <c r="L933" s="14"/>
      <c r="O933" s="9"/>
      <c r="P933" s="9"/>
    </row>
    <row r="934">
      <c r="F934" s="14"/>
      <c r="H934" s="14"/>
      <c r="I934" s="14"/>
      <c r="K934" s="14"/>
      <c r="L934" s="14"/>
      <c r="O934" s="9"/>
      <c r="P934" s="9"/>
    </row>
    <row r="935">
      <c r="F935" s="14"/>
      <c r="H935" s="14"/>
      <c r="I935" s="14"/>
      <c r="K935" s="14"/>
      <c r="L935" s="14"/>
      <c r="O935" s="9"/>
      <c r="P935" s="9"/>
    </row>
    <row r="936">
      <c r="F936" s="14"/>
      <c r="H936" s="14"/>
      <c r="I936" s="14"/>
      <c r="K936" s="14"/>
      <c r="L936" s="14"/>
      <c r="O936" s="9"/>
      <c r="P936" s="9"/>
    </row>
    <row r="937">
      <c r="F937" s="14"/>
      <c r="H937" s="14"/>
      <c r="I937" s="14"/>
      <c r="K937" s="14"/>
      <c r="L937" s="14"/>
      <c r="O937" s="9"/>
      <c r="P937" s="9"/>
    </row>
    <row r="938">
      <c r="F938" s="14"/>
      <c r="H938" s="14"/>
      <c r="I938" s="14"/>
      <c r="K938" s="14"/>
      <c r="L938" s="14"/>
      <c r="O938" s="9"/>
      <c r="P938" s="9"/>
    </row>
    <row r="939">
      <c r="F939" s="14"/>
      <c r="H939" s="14"/>
      <c r="I939" s="14"/>
      <c r="K939" s="14"/>
      <c r="L939" s="14"/>
      <c r="O939" s="9"/>
      <c r="P939" s="9"/>
    </row>
    <row r="940">
      <c r="F940" s="14"/>
      <c r="H940" s="14"/>
      <c r="I940" s="14"/>
      <c r="K940" s="14"/>
      <c r="L940" s="14"/>
      <c r="O940" s="9"/>
      <c r="P940" s="9"/>
    </row>
    <row r="941">
      <c r="F941" s="14"/>
      <c r="H941" s="14"/>
      <c r="I941" s="14"/>
      <c r="K941" s="14"/>
      <c r="L941" s="14"/>
      <c r="O941" s="9"/>
      <c r="P941" s="9"/>
    </row>
    <row r="942">
      <c r="F942" s="14"/>
      <c r="H942" s="14"/>
      <c r="I942" s="14"/>
      <c r="K942" s="14"/>
      <c r="L942" s="14"/>
      <c r="O942" s="9"/>
      <c r="P942" s="9"/>
    </row>
    <row r="943">
      <c r="F943" s="14"/>
      <c r="H943" s="14"/>
      <c r="I943" s="14"/>
      <c r="K943" s="14"/>
      <c r="L943" s="14"/>
      <c r="O943" s="9"/>
      <c r="P943" s="9"/>
    </row>
    <row r="944">
      <c r="F944" s="14"/>
      <c r="H944" s="14"/>
      <c r="I944" s="14"/>
      <c r="K944" s="14"/>
      <c r="L944" s="14"/>
      <c r="O944" s="9"/>
      <c r="P944" s="9"/>
    </row>
    <row r="945">
      <c r="F945" s="14"/>
      <c r="H945" s="14"/>
      <c r="I945" s="14"/>
      <c r="K945" s="14"/>
      <c r="L945" s="14"/>
      <c r="O945" s="9"/>
      <c r="P945" s="9"/>
    </row>
    <row r="946">
      <c r="F946" s="14"/>
      <c r="H946" s="14"/>
      <c r="I946" s="14"/>
      <c r="K946" s="14"/>
      <c r="L946" s="14"/>
      <c r="O946" s="9"/>
      <c r="P946" s="9"/>
    </row>
    <row r="947">
      <c r="F947" s="14"/>
      <c r="H947" s="14"/>
      <c r="I947" s="14"/>
      <c r="K947" s="14"/>
      <c r="L947" s="14"/>
      <c r="O947" s="9"/>
      <c r="P947" s="9"/>
    </row>
    <row r="948">
      <c r="F948" s="14"/>
      <c r="H948" s="14"/>
      <c r="I948" s="14"/>
      <c r="K948" s="14"/>
      <c r="L948" s="14"/>
      <c r="O948" s="9"/>
      <c r="P948" s="9"/>
    </row>
    <row r="949">
      <c r="F949" s="14"/>
      <c r="H949" s="14"/>
      <c r="I949" s="14"/>
      <c r="K949" s="14"/>
      <c r="L949" s="14"/>
      <c r="O949" s="9"/>
      <c r="P949" s="9"/>
    </row>
    <row r="950">
      <c r="F950" s="14"/>
      <c r="H950" s="14"/>
      <c r="I950" s="14"/>
      <c r="K950" s="14"/>
      <c r="L950" s="14"/>
      <c r="O950" s="9"/>
      <c r="P950" s="9"/>
    </row>
    <row r="951">
      <c r="F951" s="14"/>
      <c r="H951" s="14"/>
      <c r="I951" s="14"/>
      <c r="K951" s="14"/>
      <c r="L951" s="14"/>
      <c r="O951" s="9"/>
      <c r="P951" s="9"/>
    </row>
    <row r="952">
      <c r="F952" s="14"/>
      <c r="H952" s="14"/>
      <c r="I952" s="14"/>
      <c r="K952" s="14"/>
      <c r="L952" s="14"/>
      <c r="O952" s="9"/>
      <c r="P952" s="9"/>
    </row>
    <row r="953">
      <c r="F953" s="14"/>
      <c r="H953" s="14"/>
      <c r="I953" s="14"/>
      <c r="K953" s="14"/>
      <c r="L953" s="14"/>
      <c r="O953" s="9"/>
      <c r="P953" s="9"/>
    </row>
    <row r="954">
      <c r="F954" s="14"/>
      <c r="H954" s="14"/>
      <c r="I954" s="14"/>
      <c r="K954" s="14"/>
      <c r="L954" s="14"/>
      <c r="O954" s="9"/>
      <c r="P954" s="9"/>
    </row>
    <row r="955">
      <c r="F955" s="14"/>
      <c r="H955" s="14"/>
      <c r="I955" s="14"/>
      <c r="K955" s="14"/>
      <c r="L955" s="14"/>
      <c r="O955" s="9"/>
      <c r="P955" s="9"/>
    </row>
    <row r="956">
      <c r="F956" s="14"/>
      <c r="H956" s="14"/>
      <c r="I956" s="14"/>
      <c r="K956" s="14"/>
      <c r="L956" s="14"/>
      <c r="O956" s="9"/>
      <c r="P956" s="9"/>
    </row>
    <row r="957">
      <c r="F957" s="14"/>
      <c r="H957" s="14"/>
      <c r="I957" s="14"/>
      <c r="K957" s="14"/>
      <c r="L957" s="14"/>
      <c r="O957" s="9"/>
      <c r="P957" s="9"/>
    </row>
    <row r="958">
      <c r="F958" s="14"/>
      <c r="H958" s="14"/>
      <c r="I958" s="14"/>
      <c r="K958" s="14"/>
      <c r="L958" s="14"/>
      <c r="O958" s="9"/>
      <c r="P958" s="9"/>
    </row>
    <row r="959">
      <c r="F959" s="14"/>
      <c r="H959" s="14"/>
      <c r="I959" s="14"/>
      <c r="K959" s="14"/>
      <c r="L959" s="14"/>
      <c r="O959" s="9"/>
      <c r="P959" s="9"/>
    </row>
    <row r="960">
      <c r="F960" s="14"/>
      <c r="H960" s="14"/>
      <c r="I960" s="14"/>
      <c r="K960" s="14"/>
      <c r="L960" s="14"/>
      <c r="O960" s="9"/>
      <c r="P960" s="9"/>
    </row>
    <row r="961">
      <c r="F961" s="14"/>
      <c r="H961" s="14"/>
      <c r="I961" s="14"/>
      <c r="K961" s="14"/>
      <c r="L961" s="14"/>
      <c r="O961" s="9"/>
      <c r="P961" s="9"/>
    </row>
    <row r="962">
      <c r="F962" s="14"/>
      <c r="H962" s="14"/>
      <c r="I962" s="14"/>
      <c r="K962" s="14"/>
      <c r="L962" s="14"/>
      <c r="O962" s="9"/>
      <c r="P962" s="9"/>
    </row>
    <row r="963">
      <c r="F963" s="14"/>
      <c r="H963" s="14"/>
      <c r="I963" s="14"/>
      <c r="K963" s="14"/>
      <c r="L963" s="14"/>
      <c r="O963" s="9"/>
      <c r="P963" s="9"/>
    </row>
    <row r="964">
      <c r="F964" s="14"/>
      <c r="H964" s="14"/>
      <c r="I964" s="14"/>
      <c r="K964" s="14"/>
      <c r="L964" s="14"/>
      <c r="O964" s="9"/>
      <c r="P964" s="9"/>
    </row>
    <row r="965">
      <c r="F965" s="14"/>
      <c r="H965" s="14"/>
      <c r="I965" s="14"/>
      <c r="K965" s="14"/>
      <c r="L965" s="14"/>
      <c r="O965" s="9"/>
      <c r="P965" s="9"/>
    </row>
    <row r="966">
      <c r="F966" s="14"/>
      <c r="H966" s="14"/>
      <c r="I966" s="14"/>
      <c r="K966" s="14"/>
      <c r="L966" s="14"/>
      <c r="O966" s="9"/>
      <c r="P966" s="9"/>
    </row>
    <row r="967">
      <c r="F967" s="14"/>
      <c r="H967" s="14"/>
      <c r="I967" s="14"/>
      <c r="K967" s="14"/>
      <c r="L967" s="14"/>
      <c r="O967" s="9"/>
      <c r="P967" s="9"/>
    </row>
    <row r="968">
      <c r="F968" s="14"/>
      <c r="H968" s="14"/>
      <c r="I968" s="14"/>
      <c r="K968" s="14"/>
      <c r="L968" s="14"/>
      <c r="O968" s="9"/>
      <c r="P968" s="9"/>
    </row>
    <row r="969">
      <c r="F969" s="14"/>
      <c r="H969" s="14"/>
      <c r="I969" s="14"/>
      <c r="K969" s="14"/>
      <c r="L969" s="14"/>
      <c r="O969" s="9"/>
      <c r="P969" s="9"/>
    </row>
    <row r="970">
      <c r="F970" s="14"/>
      <c r="H970" s="14"/>
      <c r="I970" s="14"/>
      <c r="K970" s="14"/>
      <c r="L970" s="14"/>
      <c r="O970" s="9"/>
      <c r="P970" s="9"/>
    </row>
    <row r="971">
      <c r="F971" s="14"/>
      <c r="H971" s="14"/>
      <c r="I971" s="14"/>
      <c r="K971" s="14"/>
      <c r="L971" s="14"/>
      <c r="O971" s="9"/>
      <c r="P971" s="9"/>
    </row>
    <row r="972">
      <c r="F972" s="14"/>
      <c r="H972" s="14"/>
      <c r="I972" s="14"/>
      <c r="K972" s="14"/>
      <c r="L972" s="14"/>
      <c r="O972" s="9"/>
      <c r="P972" s="9"/>
    </row>
    <row r="973">
      <c r="F973" s="14"/>
      <c r="H973" s="14"/>
      <c r="I973" s="14"/>
      <c r="K973" s="14"/>
      <c r="L973" s="14"/>
      <c r="O973" s="9"/>
      <c r="P973" s="9"/>
    </row>
    <row r="974">
      <c r="F974" s="14"/>
      <c r="H974" s="14"/>
      <c r="I974" s="14"/>
      <c r="K974" s="14"/>
      <c r="L974" s="14"/>
      <c r="O974" s="9"/>
      <c r="P974" s="9"/>
    </row>
    <row r="975">
      <c r="F975" s="14"/>
      <c r="H975" s="14"/>
      <c r="I975" s="14"/>
      <c r="K975" s="14"/>
      <c r="L975" s="14"/>
      <c r="O975" s="9"/>
      <c r="P975" s="9"/>
    </row>
    <row r="976">
      <c r="F976" s="14"/>
      <c r="H976" s="14"/>
      <c r="I976" s="14"/>
      <c r="K976" s="14"/>
      <c r="L976" s="14"/>
      <c r="O976" s="9"/>
      <c r="P976" s="9"/>
    </row>
    <row r="977">
      <c r="F977" s="14"/>
      <c r="H977" s="14"/>
      <c r="I977" s="14"/>
      <c r="K977" s="14"/>
      <c r="L977" s="14"/>
      <c r="O977" s="9"/>
      <c r="P977" s="9"/>
    </row>
    <row r="978">
      <c r="F978" s="14"/>
      <c r="H978" s="14"/>
      <c r="I978" s="14"/>
      <c r="K978" s="14"/>
      <c r="L978" s="14"/>
      <c r="O978" s="9"/>
      <c r="P978" s="9"/>
    </row>
    <row r="979">
      <c r="F979" s="14"/>
      <c r="H979" s="14"/>
      <c r="I979" s="14"/>
      <c r="K979" s="14"/>
      <c r="L979" s="14"/>
      <c r="O979" s="9"/>
      <c r="P979" s="9"/>
    </row>
    <row r="980">
      <c r="F980" s="14"/>
      <c r="H980" s="14"/>
      <c r="I980" s="14"/>
      <c r="K980" s="14"/>
      <c r="L980" s="14"/>
      <c r="O980" s="9"/>
      <c r="P980" s="9"/>
    </row>
    <row r="981">
      <c r="F981" s="14"/>
      <c r="H981" s="14"/>
      <c r="I981" s="14"/>
      <c r="K981" s="14"/>
      <c r="L981" s="14"/>
      <c r="O981" s="9"/>
      <c r="P981" s="9"/>
    </row>
    <row r="982">
      <c r="F982" s="14"/>
      <c r="H982" s="14"/>
      <c r="I982" s="14"/>
      <c r="K982" s="14"/>
      <c r="L982" s="14"/>
      <c r="O982" s="9"/>
      <c r="P982" s="9"/>
    </row>
    <row r="983">
      <c r="F983" s="14"/>
      <c r="H983" s="14"/>
      <c r="I983" s="14"/>
      <c r="K983" s="14"/>
      <c r="L983" s="14"/>
      <c r="O983" s="9"/>
      <c r="P983" s="9"/>
    </row>
    <row r="984">
      <c r="F984" s="14"/>
      <c r="H984" s="14"/>
      <c r="I984" s="14"/>
      <c r="K984" s="14"/>
      <c r="L984" s="14"/>
      <c r="O984" s="9"/>
      <c r="P984" s="9"/>
    </row>
    <row r="985">
      <c r="F985" s="14"/>
      <c r="H985" s="14"/>
      <c r="I985" s="14"/>
      <c r="K985" s="14"/>
      <c r="L985" s="14"/>
      <c r="O985" s="9"/>
      <c r="P985" s="9"/>
    </row>
    <row r="986">
      <c r="F986" s="14"/>
      <c r="H986" s="14"/>
      <c r="I986" s="14"/>
      <c r="K986" s="14"/>
      <c r="L986" s="14"/>
      <c r="O986" s="9"/>
      <c r="P986" s="9"/>
    </row>
    <row r="987">
      <c r="F987" s="14"/>
      <c r="H987" s="14"/>
      <c r="I987" s="14"/>
      <c r="K987" s="14"/>
      <c r="L987" s="14"/>
      <c r="O987" s="9"/>
      <c r="P987" s="9"/>
    </row>
    <row r="988">
      <c r="F988" s="14"/>
      <c r="H988" s="14"/>
      <c r="I988" s="14"/>
      <c r="K988" s="14"/>
      <c r="L988" s="14"/>
      <c r="O988" s="9"/>
      <c r="P988" s="9"/>
    </row>
    <row r="989">
      <c r="F989" s="14"/>
      <c r="H989" s="14"/>
      <c r="I989" s="14"/>
      <c r="K989" s="14"/>
      <c r="L989" s="14"/>
      <c r="O989" s="9"/>
      <c r="P989" s="9"/>
    </row>
    <row r="990">
      <c r="F990" s="14"/>
      <c r="H990" s="14"/>
      <c r="I990" s="14"/>
      <c r="K990" s="14"/>
      <c r="L990" s="14"/>
      <c r="O990" s="9"/>
      <c r="P990" s="9"/>
    </row>
    <row r="991">
      <c r="F991" s="14"/>
      <c r="H991" s="14"/>
      <c r="I991" s="14"/>
      <c r="K991" s="14"/>
      <c r="L991" s="14"/>
      <c r="O991" s="9"/>
      <c r="P991" s="9"/>
    </row>
    <row r="992">
      <c r="F992" s="14"/>
      <c r="H992" s="14"/>
      <c r="I992" s="14"/>
      <c r="K992" s="14"/>
      <c r="L992" s="14"/>
      <c r="O992" s="9"/>
      <c r="P992" s="9"/>
    </row>
    <row r="993">
      <c r="F993" s="14"/>
      <c r="H993" s="14"/>
      <c r="I993" s="14"/>
      <c r="K993" s="14"/>
      <c r="L993" s="14"/>
      <c r="O993" s="9"/>
      <c r="P993" s="9"/>
    </row>
    <row r="994">
      <c r="F994" s="14"/>
      <c r="H994" s="14"/>
      <c r="I994" s="14"/>
      <c r="K994" s="14"/>
      <c r="L994" s="14"/>
      <c r="O994" s="9"/>
      <c r="P994" s="9"/>
    </row>
    <row r="995">
      <c r="F995" s="14"/>
      <c r="H995" s="14"/>
      <c r="I995" s="14"/>
      <c r="K995" s="14"/>
      <c r="L995" s="14"/>
      <c r="O995" s="9"/>
      <c r="P995" s="9"/>
    </row>
    <row r="996">
      <c r="F996" s="14"/>
      <c r="H996" s="14"/>
      <c r="I996" s="14"/>
      <c r="K996" s="14"/>
      <c r="L996" s="14"/>
      <c r="O996" s="9"/>
      <c r="P996" s="9"/>
    </row>
    <row r="997">
      <c r="F997" s="14"/>
      <c r="H997" s="14"/>
      <c r="I997" s="14"/>
      <c r="K997" s="14"/>
      <c r="L997" s="14"/>
      <c r="O997" s="9"/>
      <c r="P997" s="9"/>
    </row>
    <row r="998">
      <c r="F998" s="14"/>
      <c r="H998" s="14"/>
      <c r="I998" s="14"/>
      <c r="K998" s="14"/>
      <c r="L998" s="14"/>
      <c r="O998" s="9"/>
      <c r="P998" s="9"/>
    </row>
    <row r="999">
      <c r="F999" s="14"/>
      <c r="H999" s="14"/>
      <c r="I999" s="14"/>
      <c r="K999" s="14"/>
      <c r="L999" s="14"/>
      <c r="O999" s="9"/>
      <c r="P999" s="9"/>
    </row>
    <row r="1000">
      <c r="F1000" s="14"/>
      <c r="H1000" s="14"/>
      <c r="I1000" s="14"/>
      <c r="K1000" s="14"/>
      <c r="L1000" s="14"/>
      <c r="O1000" s="9"/>
      <c r="P1000" s="9"/>
    </row>
  </sheetData>
  <dataValidations>
    <dataValidation type="list" allowBlank="1" showErrorMessage="1" sqref="O2:O1000">
      <formula1>"1,2,3,4"</formula1>
    </dataValidation>
    <dataValidation type="list" allowBlank="1" showErrorMessage="1" sqref="P2:P1000">
      <formula1>"Not Started,Planning,Writing,Review,Published"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4" max="4" width="77.25"/>
    <col customWidth="1" min="5" max="5" width="55.13"/>
    <col customWidth="1" min="6" max="6" width="13.88"/>
    <col customWidth="1" min="7" max="7" width="32.38"/>
    <col customWidth="1" min="9" max="9" width="8.0"/>
    <col customWidth="1" min="11" max="11" width="8.5"/>
    <col customWidth="1" min="12" max="12" width="7.25"/>
    <col customWidth="1" min="13" max="13" width="8.38"/>
    <col customWidth="1" min="16" max="16" width="13.25"/>
    <col customWidth="1" min="24" max="24" width="25.75"/>
  </cols>
  <sheetData>
    <row r="1">
      <c r="A1" s="15" t="s">
        <v>48</v>
      </c>
      <c r="B1" s="15" t="s">
        <v>0</v>
      </c>
      <c r="C1" s="15" t="s">
        <v>49</v>
      </c>
      <c r="D1" s="16" t="s">
        <v>50</v>
      </c>
      <c r="E1" s="16" t="s">
        <v>51</v>
      </c>
      <c r="F1" s="15" t="s">
        <v>52</v>
      </c>
      <c r="G1" s="15" t="s">
        <v>4</v>
      </c>
      <c r="H1" s="17" t="s">
        <v>5</v>
      </c>
      <c r="I1" s="15" t="s">
        <v>6</v>
      </c>
      <c r="J1" s="17" t="s">
        <v>53</v>
      </c>
      <c r="K1" s="15" t="s">
        <v>54</v>
      </c>
      <c r="L1" s="15" t="s">
        <v>55</v>
      </c>
      <c r="M1" s="15" t="s">
        <v>56</v>
      </c>
      <c r="N1" s="15" t="s">
        <v>57</v>
      </c>
      <c r="O1" s="15" t="s">
        <v>58</v>
      </c>
      <c r="P1" s="1" t="s">
        <v>15</v>
      </c>
      <c r="Q1" s="15" t="s">
        <v>59</v>
      </c>
      <c r="R1" s="15" t="s">
        <v>16</v>
      </c>
      <c r="S1" s="15" t="s">
        <v>17</v>
      </c>
      <c r="T1" s="15" t="s">
        <v>12</v>
      </c>
      <c r="U1" s="17" t="s">
        <v>13</v>
      </c>
      <c r="V1" s="16" t="s">
        <v>60</v>
      </c>
      <c r="W1" s="18"/>
      <c r="X1" s="16" t="s">
        <v>61</v>
      </c>
      <c r="Y1" s="18"/>
      <c r="Z1" s="18"/>
    </row>
    <row r="2">
      <c r="A2" s="19"/>
      <c r="B2" s="20">
        <v>2.0</v>
      </c>
      <c r="C2" s="19" t="str">
        <f t="shared" ref="C2:C30" si="1">CONCATENATE("Pillar ",B2)</f>
        <v>Pillar 2</v>
      </c>
      <c r="D2" s="20" t="s">
        <v>62</v>
      </c>
      <c r="E2" s="21" t="s">
        <v>63</v>
      </c>
      <c r="F2" s="20" t="s">
        <v>64</v>
      </c>
      <c r="G2" s="22" t="s">
        <v>65</v>
      </c>
      <c r="H2" s="23" t="s">
        <v>66</v>
      </c>
      <c r="I2" s="19"/>
      <c r="J2" s="23" t="s">
        <v>67</v>
      </c>
      <c r="K2" s="19"/>
      <c r="L2" s="19"/>
      <c r="M2" s="19"/>
      <c r="N2" s="19"/>
      <c r="O2" s="20">
        <v>1.0</v>
      </c>
      <c r="P2" s="20" t="s">
        <v>68</v>
      </c>
      <c r="Q2" s="20" t="s">
        <v>69</v>
      </c>
      <c r="R2" s="19"/>
      <c r="S2" s="19"/>
      <c r="T2" s="19"/>
      <c r="U2" s="24" t="s">
        <v>70</v>
      </c>
      <c r="V2" s="20" t="s">
        <v>71</v>
      </c>
      <c r="W2" s="19"/>
      <c r="X2" s="19" t="str">
        <f>VLOOKUP(B2, Pillar_Metadata!A:C, 3, FALSE)</f>
        <v>The Art of Mindful Beer and Food Pairing: A Comprehensive Guide</v>
      </c>
      <c r="Y2" s="19"/>
      <c r="Z2" s="19"/>
    </row>
    <row r="3">
      <c r="A3" s="19"/>
      <c r="B3" s="20">
        <v>2.0</v>
      </c>
      <c r="C3" s="19" t="str">
        <f t="shared" si="1"/>
        <v>Pillar 2</v>
      </c>
      <c r="D3" s="20" t="s">
        <v>72</v>
      </c>
      <c r="E3" s="21" t="s">
        <v>73</v>
      </c>
      <c r="F3" s="20" t="s">
        <v>74</v>
      </c>
      <c r="G3" s="22" t="s">
        <v>75</v>
      </c>
      <c r="H3" s="23" t="s">
        <v>76</v>
      </c>
      <c r="I3" s="19"/>
      <c r="J3" s="23" t="s">
        <v>77</v>
      </c>
      <c r="K3" s="19"/>
      <c r="L3" s="19"/>
      <c r="M3" s="19"/>
      <c r="N3" s="19"/>
      <c r="O3" s="20">
        <v>2.0</v>
      </c>
      <c r="P3" s="20" t="s">
        <v>68</v>
      </c>
      <c r="Q3" s="20" t="s">
        <v>78</v>
      </c>
      <c r="R3" s="19"/>
      <c r="S3" s="19"/>
      <c r="T3" s="19"/>
      <c r="U3" s="24" t="s">
        <v>79</v>
      </c>
      <c r="V3" s="20" t="s">
        <v>71</v>
      </c>
      <c r="W3" s="19"/>
      <c r="X3" s="19" t="str">
        <f>VLOOKUP(B3, Pillar_Metadata!A:C, 3, FALSE)</f>
        <v>The Art of Mindful Beer and Food Pairing: A Comprehensive Guide</v>
      </c>
      <c r="Y3" s="19"/>
      <c r="Z3" s="19"/>
    </row>
    <row r="4">
      <c r="A4" s="19"/>
      <c r="B4" s="20">
        <v>2.0</v>
      </c>
      <c r="C4" s="19" t="str">
        <f t="shared" si="1"/>
        <v>Pillar 2</v>
      </c>
      <c r="D4" s="20" t="s">
        <v>80</v>
      </c>
      <c r="E4" s="21" t="s">
        <v>81</v>
      </c>
      <c r="F4" s="20" t="s">
        <v>82</v>
      </c>
      <c r="G4" s="22" t="s">
        <v>83</v>
      </c>
      <c r="H4" s="23" t="s">
        <v>84</v>
      </c>
      <c r="I4" s="19"/>
      <c r="J4" s="23" t="s">
        <v>85</v>
      </c>
      <c r="K4" s="19"/>
      <c r="L4" s="19"/>
      <c r="M4" s="19"/>
      <c r="N4" s="19"/>
      <c r="O4" s="20">
        <v>3.0</v>
      </c>
      <c r="P4" s="20" t="s">
        <v>68</v>
      </c>
      <c r="Q4" s="20" t="s">
        <v>86</v>
      </c>
      <c r="R4" s="19"/>
      <c r="S4" s="19"/>
      <c r="T4" s="19"/>
      <c r="U4" s="24" t="s">
        <v>87</v>
      </c>
      <c r="V4" s="20" t="s">
        <v>71</v>
      </c>
      <c r="W4" s="19"/>
      <c r="X4" s="19" t="str">
        <f>VLOOKUP(B4, Pillar_Metadata!A:C, 3, FALSE)</f>
        <v>The Art of Mindful Beer and Food Pairing: A Comprehensive Guide</v>
      </c>
      <c r="Y4" s="19"/>
      <c r="Z4" s="19"/>
    </row>
    <row r="5">
      <c r="A5" s="19"/>
      <c r="B5" s="20">
        <v>1.0</v>
      </c>
      <c r="C5" s="19" t="str">
        <f t="shared" si="1"/>
        <v>Pillar 1</v>
      </c>
      <c r="D5" s="20" t="s">
        <v>88</v>
      </c>
      <c r="E5" s="21" t="s">
        <v>89</v>
      </c>
      <c r="F5" s="20" t="s">
        <v>90</v>
      </c>
      <c r="G5" s="22" t="s">
        <v>91</v>
      </c>
      <c r="H5" s="23" t="s">
        <v>92</v>
      </c>
      <c r="I5" s="19"/>
      <c r="J5" s="23" t="s">
        <v>93</v>
      </c>
      <c r="K5" s="19"/>
      <c r="L5" s="19"/>
      <c r="M5" s="19"/>
      <c r="N5" s="19"/>
      <c r="O5" s="20">
        <v>4.0</v>
      </c>
      <c r="P5" s="20" t="s">
        <v>68</v>
      </c>
      <c r="Q5" s="20" t="s">
        <v>94</v>
      </c>
      <c r="R5" s="19"/>
      <c r="S5" s="19"/>
      <c r="T5" s="19"/>
      <c r="U5" s="24" t="s">
        <v>95</v>
      </c>
      <c r="V5" s="20" t="s">
        <v>71</v>
      </c>
      <c r="W5" s="19"/>
      <c r="X5" s="19" t="str">
        <f>VLOOKUP(B5, Pillar_Metadata!A:C, 3, FALSE)</f>
        <v>The Complete Guide to Mindful Beer Appreciation</v>
      </c>
      <c r="Y5" s="19"/>
      <c r="Z5" s="19"/>
    </row>
    <row r="6">
      <c r="A6" s="19"/>
      <c r="B6" s="20">
        <v>1.0</v>
      </c>
      <c r="C6" s="19" t="str">
        <f t="shared" si="1"/>
        <v>Pillar 1</v>
      </c>
      <c r="D6" s="20" t="s">
        <v>96</v>
      </c>
      <c r="E6" s="21" t="s">
        <v>97</v>
      </c>
      <c r="F6" s="20" t="s">
        <v>98</v>
      </c>
      <c r="G6" s="22" t="s">
        <v>99</v>
      </c>
      <c r="H6" s="23" t="s">
        <v>100</v>
      </c>
      <c r="I6" s="19"/>
      <c r="J6" s="23" t="s">
        <v>101</v>
      </c>
      <c r="K6" s="19"/>
      <c r="L6" s="19"/>
      <c r="M6" s="19"/>
      <c r="N6" s="19"/>
      <c r="O6" s="20">
        <v>5.0</v>
      </c>
      <c r="P6" s="20" t="s">
        <v>68</v>
      </c>
      <c r="Q6" s="20" t="s">
        <v>102</v>
      </c>
      <c r="R6" s="19"/>
      <c r="S6" s="19"/>
      <c r="T6" s="19"/>
      <c r="U6" s="24" t="s">
        <v>103</v>
      </c>
      <c r="V6" s="20" t="s">
        <v>71</v>
      </c>
      <c r="W6" s="19"/>
      <c r="X6" s="19" t="str">
        <f>VLOOKUP(B6, Pillar_Metadata!A:C, 3, FALSE)</f>
        <v>The Complete Guide to Mindful Beer Appreciation</v>
      </c>
      <c r="Y6" s="19"/>
      <c r="Z6" s="19"/>
    </row>
    <row r="7">
      <c r="A7" s="19"/>
      <c r="B7" s="20">
        <v>1.0</v>
      </c>
      <c r="C7" s="19" t="str">
        <f t="shared" si="1"/>
        <v>Pillar 1</v>
      </c>
      <c r="D7" s="20" t="s">
        <v>104</v>
      </c>
      <c r="E7" s="21" t="s">
        <v>105</v>
      </c>
      <c r="F7" s="20" t="s">
        <v>106</v>
      </c>
      <c r="G7" s="22" t="s">
        <v>107</v>
      </c>
      <c r="H7" s="23" t="s">
        <v>108</v>
      </c>
      <c r="I7" s="19"/>
      <c r="J7" s="23" t="s">
        <v>109</v>
      </c>
      <c r="K7" s="19"/>
      <c r="L7" s="19"/>
      <c r="M7" s="19"/>
      <c r="N7" s="19"/>
      <c r="O7" s="20">
        <v>6.0</v>
      </c>
      <c r="P7" s="20" t="s">
        <v>68</v>
      </c>
      <c r="Q7" s="20" t="s">
        <v>110</v>
      </c>
      <c r="R7" s="19"/>
      <c r="S7" s="19"/>
      <c r="T7" s="19"/>
      <c r="U7" s="24" t="s">
        <v>111</v>
      </c>
      <c r="V7" s="20" t="s">
        <v>71</v>
      </c>
      <c r="W7" s="19"/>
      <c r="X7" s="19" t="str">
        <f>VLOOKUP(B7, Pillar_Metadata!A:C, 3, FALSE)</f>
        <v>The Complete Guide to Mindful Beer Appreciation</v>
      </c>
      <c r="Y7" s="19"/>
      <c r="Z7" s="19"/>
    </row>
    <row r="8">
      <c r="A8" s="19"/>
      <c r="B8" s="20">
        <v>1.0</v>
      </c>
      <c r="C8" s="19" t="str">
        <f t="shared" si="1"/>
        <v>Pillar 1</v>
      </c>
      <c r="D8" s="25" t="s">
        <v>112</v>
      </c>
      <c r="E8" s="21" t="s">
        <v>113</v>
      </c>
      <c r="F8" s="20" t="s">
        <v>114</v>
      </c>
      <c r="G8" s="22" t="s">
        <v>115</v>
      </c>
      <c r="H8" s="23" t="s">
        <v>116</v>
      </c>
      <c r="I8" s="19"/>
      <c r="J8" s="23" t="s">
        <v>117</v>
      </c>
      <c r="K8" s="19"/>
      <c r="L8" s="19"/>
      <c r="M8" s="19"/>
      <c r="N8" s="19"/>
      <c r="O8" s="20">
        <v>7.0</v>
      </c>
      <c r="P8" s="20" t="s">
        <v>68</v>
      </c>
      <c r="Q8" s="20" t="s">
        <v>118</v>
      </c>
      <c r="R8" s="19"/>
      <c r="S8" s="19"/>
      <c r="T8" s="19"/>
      <c r="U8" s="24" t="s">
        <v>119</v>
      </c>
      <c r="V8" s="20" t="s">
        <v>71</v>
      </c>
      <c r="W8" s="19"/>
      <c r="X8" s="19" t="str">
        <f>VLOOKUP(B8, Pillar_Metadata!A:C, 3, FALSE)</f>
        <v>The Complete Guide to Mindful Beer Appreciation</v>
      </c>
      <c r="Y8" s="19"/>
      <c r="Z8" s="19"/>
    </row>
    <row r="9">
      <c r="A9" s="19"/>
      <c r="B9" s="20">
        <v>1.0</v>
      </c>
      <c r="C9" s="19" t="str">
        <f t="shared" si="1"/>
        <v>Pillar 1</v>
      </c>
      <c r="D9" s="20" t="s">
        <v>120</v>
      </c>
      <c r="E9" s="21" t="s">
        <v>121</v>
      </c>
      <c r="F9" s="20" t="s">
        <v>122</v>
      </c>
      <c r="G9" s="22" t="s">
        <v>123</v>
      </c>
      <c r="H9" s="23" t="s">
        <v>124</v>
      </c>
      <c r="I9" s="19"/>
      <c r="J9" s="23" t="s">
        <v>125</v>
      </c>
      <c r="K9" s="19"/>
      <c r="L9" s="19"/>
      <c r="M9" s="19"/>
      <c r="N9" s="19"/>
      <c r="O9" s="20">
        <v>8.0</v>
      </c>
      <c r="P9" s="20" t="s">
        <v>68</v>
      </c>
      <c r="Q9" s="20" t="s">
        <v>126</v>
      </c>
      <c r="R9" s="19"/>
      <c r="S9" s="19"/>
      <c r="T9" s="19"/>
      <c r="U9" s="24" t="s">
        <v>127</v>
      </c>
      <c r="V9" s="20" t="s">
        <v>71</v>
      </c>
      <c r="W9" s="19"/>
      <c r="X9" s="19" t="str">
        <f>VLOOKUP(B9, Pillar_Metadata!A:C, 3, FALSE)</f>
        <v>The Complete Guide to Mindful Beer Appreciation</v>
      </c>
      <c r="Y9" s="19"/>
      <c r="Z9" s="19"/>
    </row>
    <row r="10">
      <c r="A10" s="19"/>
      <c r="B10" s="20">
        <v>1.0</v>
      </c>
      <c r="C10" s="19" t="str">
        <f t="shared" si="1"/>
        <v>Pillar 1</v>
      </c>
      <c r="D10" s="20" t="s">
        <v>128</v>
      </c>
      <c r="E10" s="21" t="s">
        <v>129</v>
      </c>
      <c r="F10" s="20" t="s">
        <v>130</v>
      </c>
      <c r="G10" s="22" t="s">
        <v>131</v>
      </c>
      <c r="H10" s="23" t="s">
        <v>132</v>
      </c>
      <c r="I10" s="19"/>
      <c r="J10" s="23" t="s">
        <v>133</v>
      </c>
      <c r="K10" s="19"/>
      <c r="L10" s="19"/>
      <c r="M10" s="19"/>
      <c r="N10" s="19"/>
      <c r="O10" s="20">
        <v>9.0</v>
      </c>
      <c r="P10" s="20" t="s">
        <v>68</v>
      </c>
      <c r="Q10" s="20" t="s">
        <v>134</v>
      </c>
      <c r="R10" s="19"/>
      <c r="S10" s="19"/>
      <c r="T10" s="19"/>
      <c r="U10" s="24" t="s">
        <v>135</v>
      </c>
      <c r="V10" s="20" t="s">
        <v>71</v>
      </c>
      <c r="W10" s="19"/>
      <c r="X10" s="19" t="str">
        <f>VLOOKUP(B10, Pillar_Metadata!A:C, 3, FALSE)</f>
        <v>The Complete Guide to Mindful Beer Appreciation</v>
      </c>
      <c r="Y10" s="19"/>
      <c r="Z10" s="19"/>
    </row>
    <row r="11">
      <c r="A11" s="19"/>
      <c r="B11" s="20">
        <v>1.0</v>
      </c>
      <c r="C11" s="19" t="str">
        <f t="shared" si="1"/>
        <v>Pillar 1</v>
      </c>
      <c r="D11" s="20" t="s">
        <v>136</v>
      </c>
      <c r="E11" s="21" t="s">
        <v>137</v>
      </c>
      <c r="F11" s="20" t="s">
        <v>138</v>
      </c>
      <c r="G11" s="22" t="s">
        <v>139</v>
      </c>
      <c r="H11" s="23" t="s">
        <v>140</v>
      </c>
      <c r="I11" s="19"/>
      <c r="J11" s="23" t="s">
        <v>141</v>
      </c>
      <c r="K11" s="19"/>
      <c r="L11" s="19"/>
      <c r="M11" s="19"/>
      <c r="N11" s="19"/>
      <c r="O11" s="20">
        <v>10.0</v>
      </c>
      <c r="P11" s="20" t="s">
        <v>68</v>
      </c>
      <c r="Q11" s="20" t="s">
        <v>142</v>
      </c>
      <c r="R11" s="19"/>
      <c r="S11" s="19"/>
      <c r="T11" s="19"/>
      <c r="U11" s="24" t="s">
        <v>143</v>
      </c>
      <c r="V11" s="20" t="s">
        <v>71</v>
      </c>
      <c r="W11" s="19"/>
      <c r="X11" s="19" t="str">
        <f>VLOOKUP(B11, Pillar_Metadata!A:C, 3, FALSE)</f>
        <v>The Complete Guide to Mindful Beer Appreciation</v>
      </c>
      <c r="Y11" s="19"/>
      <c r="Z11" s="19"/>
    </row>
    <row r="12">
      <c r="A12" s="19"/>
      <c r="B12" s="20">
        <v>1.0</v>
      </c>
      <c r="C12" s="19" t="str">
        <f t="shared" si="1"/>
        <v>Pillar 1</v>
      </c>
      <c r="D12" s="20" t="s">
        <v>144</v>
      </c>
      <c r="E12" s="21" t="s">
        <v>145</v>
      </c>
      <c r="F12" s="20" t="s">
        <v>146</v>
      </c>
      <c r="G12" s="22" t="s">
        <v>147</v>
      </c>
      <c r="H12" s="23" t="s">
        <v>148</v>
      </c>
      <c r="I12" s="19"/>
      <c r="J12" s="23" t="s">
        <v>149</v>
      </c>
      <c r="K12" s="19"/>
      <c r="L12" s="19"/>
      <c r="M12" s="19"/>
      <c r="N12" s="19"/>
      <c r="O12" s="20">
        <v>11.0</v>
      </c>
      <c r="P12" s="20" t="s">
        <v>68</v>
      </c>
      <c r="Q12" s="20" t="s">
        <v>150</v>
      </c>
      <c r="R12" s="19"/>
      <c r="S12" s="19"/>
      <c r="T12" s="19"/>
      <c r="U12" s="24" t="s">
        <v>151</v>
      </c>
      <c r="V12" s="20" t="s">
        <v>71</v>
      </c>
      <c r="W12" s="19"/>
      <c r="X12" s="19" t="str">
        <f>VLOOKUP(B12, Pillar_Metadata!A:C, 3, FALSE)</f>
        <v>The Complete Guide to Mindful Beer Appreciation</v>
      </c>
      <c r="Y12" s="19"/>
      <c r="Z12" s="19"/>
    </row>
    <row r="13">
      <c r="B13" s="5">
        <v>2.0</v>
      </c>
      <c r="C13" s="9" t="str">
        <f t="shared" si="1"/>
        <v>Pillar 2</v>
      </c>
      <c r="E13" s="26" t="s">
        <v>152</v>
      </c>
      <c r="G13" s="6" t="s">
        <v>153</v>
      </c>
      <c r="H13" s="7" t="s">
        <v>154</v>
      </c>
      <c r="J13" s="7" t="s">
        <v>155</v>
      </c>
      <c r="N13" s="9"/>
      <c r="O13" s="5">
        <v>12.0</v>
      </c>
      <c r="P13" s="9"/>
      <c r="U13" s="14"/>
      <c r="V13" s="5" t="s">
        <v>71</v>
      </c>
      <c r="X13" s="9" t="str">
        <f>VLOOKUP(B13, Pillar_Metadata!A:C, 3, FALSE)</f>
        <v>The Art of Mindful Beer and Food Pairing: A Comprehensive Guide</v>
      </c>
    </row>
    <row r="14">
      <c r="B14" s="5">
        <v>2.0</v>
      </c>
      <c r="C14" s="9" t="str">
        <f t="shared" si="1"/>
        <v>Pillar 2</v>
      </c>
      <c r="E14" s="27" t="s">
        <v>156</v>
      </c>
      <c r="G14" s="10" t="s">
        <v>157</v>
      </c>
      <c r="H14" s="11" t="s">
        <v>158</v>
      </c>
      <c r="J14" s="11" t="s">
        <v>159</v>
      </c>
      <c r="N14" s="9"/>
      <c r="O14" s="5">
        <v>13.0</v>
      </c>
      <c r="P14" s="9"/>
      <c r="U14" s="14"/>
      <c r="V14" s="5" t="s">
        <v>71</v>
      </c>
      <c r="X14" s="9" t="str">
        <f>VLOOKUP(B14, Pillar_Metadata!A:C, 3, FALSE)</f>
        <v>The Art of Mindful Beer and Food Pairing: A Comprehensive Guide</v>
      </c>
    </row>
    <row r="15">
      <c r="B15" s="5">
        <v>2.0</v>
      </c>
      <c r="C15" s="9" t="str">
        <f t="shared" si="1"/>
        <v>Pillar 2</v>
      </c>
      <c r="E15" s="26" t="s">
        <v>160</v>
      </c>
      <c r="G15" s="6" t="s">
        <v>161</v>
      </c>
      <c r="H15" s="7" t="s">
        <v>162</v>
      </c>
      <c r="J15" s="7" t="s">
        <v>163</v>
      </c>
      <c r="N15" s="9"/>
      <c r="O15" s="5">
        <v>14.0</v>
      </c>
      <c r="P15" s="9"/>
      <c r="U15" s="14"/>
      <c r="V15" s="5" t="s">
        <v>71</v>
      </c>
      <c r="X15" s="9" t="str">
        <f>VLOOKUP(B15, Pillar_Metadata!A:C, 3, FALSE)</f>
        <v>The Art of Mindful Beer and Food Pairing: A Comprehensive Guide</v>
      </c>
    </row>
    <row r="16">
      <c r="B16" s="5">
        <v>2.0</v>
      </c>
      <c r="C16" s="9" t="str">
        <f t="shared" si="1"/>
        <v>Pillar 2</v>
      </c>
      <c r="E16" s="27" t="s">
        <v>164</v>
      </c>
      <c r="G16" s="10" t="s">
        <v>165</v>
      </c>
      <c r="H16" s="11" t="s">
        <v>166</v>
      </c>
      <c r="J16" s="11" t="s">
        <v>167</v>
      </c>
      <c r="N16" s="9"/>
      <c r="O16" s="5">
        <v>15.0</v>
      </c>
      <c r="P16" s="9"/>
      <c r="U16" s="14"/>
      <c r="V16" s="5" t="s">
        <v>71</v>
      </c>
      <c r="X16" s="9" t="str">
        <f>VLOOKUP(B16, Pillar_Metadata!A:C, 3, FALSE)</f>
        <v>The Art of Mindful Beer and Food Pairing: A Comprehensive Guide</v>
      </c>
    </row>
    <row r="17">
      <c r="B17" s="5">
        <v>2.0</v>
      </c>
      <c r="C17" s="9" t="str">
        <f t="shared" si="1"/>
        <v>Pillar 2</v>
      </c>
      <c r="E17" s="26" t="s">
        <v>168</v>
      </c>
      <c r="G17" s="6" t="s">
        <v>169</v>
      </c>
      <c r="H17" s="7" t="s">
        <v>170</v>
      </c>
      <c r="J17" s="7" t="s">
        <v>171</v>
      </c>
      <c r="N17" s="9"/>
      <c r="O17" s="5">
        <v>16.0</v>
      </c>
      <c r="P17" s="9"/>
      <c r="U17" s="14"/>
      <c r="V17" s="5" t="s">
        <v>71</v>
      </c>
      <c r="X17" s="9" t="str">
        <f>VLOOKUP(B17, Pillar_Metadata!A:C, 3, FALSE)</f>
        <v>The Art of Mindful Beer and Food Pairing: A Comprehensive Guide</v>
      </c>
    </row>
    <row r="18">
      <c r="B18" s="5">
        <v>4.0</v>
      </c>
      <c r="C18" s="9" t="str">
        <f t="shared" si="1"/>
        <v>Pillar 4</v>
      </c>
      <c r="E18" s="26" t="s">
        <v>172</v>
      </c>
      <c r="G18" s="6" t="s">
        <v>173</v>
      </c>
      <c r="H18" s="7" t="s">
        <v>174</v>
      </c>
      <c r="J18" s="7" t="s">
        <v>175</v>
      </c>
      <c r="N18" s="9"/>
      <c r="O18" s="5">
        <v>17.0</v>
      </c>
      <c r="P18" s="9"/>
      <c r="U18" s="14"/>
      <c r="V18" s="5" t="s">
        <v>71</v>
      </c>
      <c r="X18" s="9" t="str">
        <f>VLOOKUP(B18, Pillar_Metadata!A:C, 3, FALSE)</f>
        <v>Beer Through the Ages: Ancient Wisdom for Modern Mindfulness</v>
      </c>
    </row>
    <row r="19">
      <c r="B19" s="5">
        <v>4.0</v>
      </c>
      <c r="C19" s="9" t="str">
        <f t="shared" si="1"/>
        <v>Pillar 4</v>
      </c>
      <c r="E19" s="27" t="s">
        <v>176</v>
      </c>
      <c r="G19" s="10" t="s">
        <v>177</v>
      </c>
      <c r="H19" s="11" t="s">
        <v>178</v>
      </c>
      <c r="J19" s="11" t="s">
        <v>179</v>
      </c>
      <c r="N19" s="9"/>
      <c r="O19" s="5">
        <v>18.0</v>
      </c>
      <c r="P19" s="9"/>
      <c r="U19" s="14"/>
      <c r="V19" s="5" t="s">
        <v>71</v>
      </c>
      <c r="X19" s="9" t="str">
        <f>VLOOKUP(B19, Pillar_Metadata!A:C, 3, FALSE)</f>
        <v>Beer Through the Ages: Ancient Wisdom for Modern Mindfulness</v>
      </c>
    </row>
    <row r="20">
      <c r="B20" s="5">
        <v>4.0</v>
      </c>
      <c r="C20" s="9" t="str">
        <f t="shared" si="1"/>
        <v>Pillar 4</v>
      </c>
      <c r="E20" s="26" t="s">
        <v>180</v>
      </c>
      <c r="G20" s="6" t="s">
        <v>181</v>
      </c>
      <c r="H20" s="7" t="s">
        <v>182</v>
      </c>
      <c r="J20" s="7" t="s">
        <v>183</v>
      </c>
      <c r="N20" s="9"/>
      <c r="O20" s="5">
        <v>19.0</v>
      </c>
      <c r="P20" s="9"/>
      <c r="U20" s="14"/>
      <c r="V20" s="5" t="s">
        <v>71</v>
      </c>
      <c r="X20" s="9" t="str">
        <f>VLOOKUP(B20, Pillar_Metadata!A:C, 3, FALSE)</f>
        <v>Beer Through the Ages: Ancient Wisdom for Modern Mindfulness</v>
      </c>
    </row>
    <row r="21">
      <c r="B21" s="5">
        <v>4.0</v>
      </c>
      <c r="C21" s="9" t="str">
        <f t="shared" si="1"/>
        <v>Pillar 4</v>
      </c>
      <c r="E21" s="27" t="s">
        <v>184</v>
      </c>
      <c r="G21" s="10" t="s">
        <v>185</v>
      </c>
      <c r="H21" s="11" t="s">
        <v>186</v>
      </c>
      <c r="J21" s="11" t="s">
        <v>187</v>
      </c>
      <c r="N21" s="9"/>
      <c r="O21" s="5">
        <v>20.0</v>
      </c>
      <c r="P21" s="9"/>
      <c r="U21" s="14"/>
      <c r="V21" s="5" t="s">
        <v>71</v>
      </c>
      <c r="X21" s="9" t="str">
        <f>VLOOKUP(B21, Pillar_Metadata!A:C, 3, FALSE)</f>
        <v>Beer Through the Ages: Ancient Wisdom for Modern Mindfulness</v>
      </c>
    </row>
    <row r="22">
      <c r="B22" s="5">
        <v>3.0</v>
      </c>
      <c r="C22" s="9" t="str">
        <f t="shared" si="1"/>
        <v>Pillar 3</v>
      </c>
      <c r="E22" s="27" t="s">
        <v>188</v>
      </c>
      <c r="G22" s="10" t="s">
        <v>189</v>
      </c>
      <c r="H22" s="11" t="s">
        <v>190</v>
      </c>
      <c r="J22" s="11" t="s">
        <v>191</v>
      </c>
      <c r="N22" s="9"/>
      <c r="O22" s="5">
        <v>21.0</v>
      </c>
      <c r="P22" s="9"/>
      <c r="U22" s="14"/>
      <c r="V22" s="5" t="s">
        <v>71</v>
      </c>
      <c r="X22" s="9" t="str">
        <f>VLOOKUP(B22, Pillar_Metadata!A:C, 3, FALSE)</f>
        <v>Mindful Brewing: From Grain to Glass with Presence and Intention</v>
      </c>
    </row>
    <row r="23">
      <c r="B23" s="5">
        <v>3.0</v>
      </c>
      <c r="C23" s="9" t="str">
        <f t="shared" si="1"/>
        <v>Pillar 3</v>
      </c>
      <c r="E23" s="26" t="s">
        <v>192</v>
      </c>
      <c r="G23" s="6" t="s">
        <v>193</v>
      </c>
      <c r="H23" s="7" t="s">
        <v>194</v>
      </c>
      <c r="J23" s="7" t="s">
        <v>195</v>
      </c>
      <c r="N23" s="9"/>
      <c r="O23" s="5">
        <v>22.0</v>
      </c>
      <c r="P23" s="9"/>
      <c r="U23" s="14"/>
      <c r="V23" s="5" t="s">
        <v>71</v>
      </c>
      <c r="X23" s="9" t="str">
        <f>VLOOKUP(B23, Pillar_Metadata!A:C, 3, FALSE)</f>
        <v>Mindful Brewing: From Grain to Glass with Presence and Intention</v>
      </c>
    </row>
    <row r="24">
      <c r="B24" s="5">
        <v>3.0</v>
      </c>
      <c r="C24" s="9" t="str">
        <f t="shared" si="1"/>
        <v>Pillar 3</v>
      </c>
      <c r="E24" s="27" t="s">
        <v>196</v>
      </c>
      <c r="G24" s="10" t="s">
        <v>197</v>
      </c>
      <c r="H24" s="11" t="s">
        <v>198</v>
      </c>
      <c r="J24" s="11" t="s">
        <v>199</v>
      </c>
      <c r="N24" s="9"/>
      <c r="O24" s="5">
        <v>23.0</v>
      </c>
      <c r="P24" s="9"/>
      <c r="U24" s="14"/>
      <c r="V24" s="5" t="s">
        <v>71</v>
      </c>
      <c r="X24" s="9" t="str">
        <f>VLOOKUP(B24, Pillar_Metadata!A:C, 3, FALSE)</f>
        <v>Mindful Brewing: From Grain to Glass with Presence and Intention</v>
      </c>
    </row>
    <row r="25">
      <c r="B25" s="5">
        <v>3.0</v>
      </c>
      <c r="C25" s="9" t="str">
        <f t="shared" si="1"/>
        <v>Pillar 3</v>
      </c>
      <c r="E25" s="26" t="s">
        <v>200</v>
      </c>
      <c r="G25" s="6" t="s">
        <v>201</v>
      </c>
      <c r="H25" s="7" t="s">
        <v>202</v>
      </c>
      <c r="J25" s="7" t="s">
        <v>203</v>
      </c>
      <c r="N25" s="9"/>
      <c r="O25" s="5">
        <v>24.0</v>
      </c>
      <c r="P25" s="9"/>
      <c r="U25" s="14"/>
      <c r="V25" s="5" t="s">
        <v>71</v>
      </c>
      <c r="X25" s="9" t="str">
        <f>VLOOKUP(B25, Pillar_Metadata!A:C, 3, FALSE)</f>
        <v>Mindful Brewing: From Grain to Glass with Presence and Intention</v>
      </c>
    </row>
    <row r="26">
      <c r="B26" s="5">
        <v>3.0</v>
      </c>
      <c r="C26" s="9" t="str">
        <f t="shared" si="1"/>
        <v>Pillar 3</v>
      </c>
      <c r="E26" s="27" t="s">
        <v>204</v>
      </c>
      <c r="G26" s="10" t="s">
        <v>205</v>
      </c>
      <c r="H26" s="11" t="s">
        <v>206</v>
      </c>
      <c r="J26" s="11" t="s">
        <v>207</v>
      </c>
      <c r="N26" s="9"/>
      <c r="O26" s="5">
        <v>25.0</v>
      </c>
      <c r="P26" s="9"/>
      <c r="U26" s="14"/>
      <c r="V26" s="5" t="s">
        <v>71</v>
      </c>
      <c r="X26" s="9" t="str">
        <f>VLOOKUP(B26, Pillar_Metadata!A:C, 3, FALSE)</f>
        <v>Mindful Brewing: From Grain to Glass with Presence and Intention</v>
      </c>
    </row>
    <row r="27">
      <c r="B27" s="5">
        <v>3.0</v>
      </c>
      <c r="C27" s="9" t="str">
        <f t="shared" si="1"/>
        <v>Pillar 3</v>
      </c>
      <c r="E27" s="26" t="s">
        <v>208</v>
      </c>
      <c r="G27" s="6" t="s">
        <v>209</v>
      </c>
      <c r="H27" s="7" t="s">
        <v>210</v>
      </c>
      <c r="J27" s="7" t="s">
        <v>211</v>
      </c>
      <c r="N27" s="9"/>
      <c r="O27" s="5">
        <v>26.0</v>
      </c>
      <c r="P27" s="9"/>
      <c r="U27" s="14"/>
      <c r="V27" s="5" t="s">
        <v>71</v>
      </c>
      <c r="X27" s="9" t="str">
        <f>VLOOKUP(B27, Pillar_Metadata!A:C, 3, FALSE)</f>
        <v>Mindful Brewing: From Grain to Glass with Presence and Intention</v>
      </c>
    </row>
    <row r="28">
      <c r="B28" s="5">
        <v>3.0</v>
      </c>
      <c r="C28" s="9" t="str">
        <f t="shared" si="1"/>
        <v>Pillar 3</v>
      </c>
      <c r="E28" s="27" t="s">
        <v>212</v>
      </c>
      <c r="G28" s="10" t="s">
        <v>213</v>
      </c>
      <c r="H28" s="11" t="s">
        <v>214</v>
      </c>
      <c r="J28" s="11" t="s">
        <v>215</v>
      </c>
      <c r="N28" s="9"/>
      <c r="O28" s="5">
        <v>27.0</v>
      </c>
      <c r="P28" s="9"/>
      <c r="U28" s="14"/>
      <c r="V28" s="5" t="s">
        <v>71</v>
      </c>
      <c r="X28" s="9" t="str">
        <f>VLOOKUP(B28, Pillar_Metadata!A:C, 3, FALSE)</f>
        <v>Mindful Brewing: From Grain to Glass with Presence and Intention</v>
      </c>
    </row>
    <row r="29">
      <c r="B29" s="5">
        <v>4.0</v>
      </c>
      <c r="C29" s="9" t="str">
        <f t="shared" si="1"/>
        <v>Pillar 4</v>
      </c>
      <c r="E29" s="26" t="s">
        <v>216</v>
      </c>
      <c r="G29" s="6" t="s">
        <v>217</v>
      </c>
      <c r="H29" s="7" t="s">
        <v>218</v>
      </c>
      <c r="J29" s="7" t="s">
        <v>219</v>
      </c>
      <c r="N29" s="9"/>
      <c r="O29" s="5">
        <v>28.0</v>
      </c>
      <c r="P29" s="9"/>
      <c r="U29" s="14"/>
      <c r="V29" s="5" t="s">
        <v>71</v>
      </c>
      <c r="X29" s="9" t="str">
        <f>VLOOKUP(B29, Pillar_Metadata!A:C, 3, FALSE)</f>
        <v>Beer Through the Ages: Ancient Wisdom for Modern Mindfulness</v>
      </c>
    </row>
    <row r="30">
      <c r="B30" s="5">
        <v>4.0</v>
      </c>
      <c r="C30" s="9" t="str">
        <f t="shared" si="1"/>
        <v>Pillar 4</v>
      </c>
      <c r="E30" s="27" t="s">
        <v>220</v>
      </c>
      <c r="G30" s="10" t="s">
        <v>221</v>
      </c>
      <c r="H30" s="11" t="s">
        <v>222</v>
      </c>
      <c r="J30" s="11" t="s">
        <v>223</v>
      </c>
      <c r="N30" s="9"/>
      <c r="O30" s="5">
        <v>29.0</v>
      </c>
      <c r="P30" s="9"/>
      <c r="U30" s="14"/>
      <c r="V30" s="5" t="s">
        <v>71</v>
      </c>
      <c r="X30" s="9" t="str">
        <f>VLOOKUP(B30, Pillar_Metadata!A:C, 3, FALSE)</f>
        <v>Beer Through the Ages: Ancient Wisdom for Modern Mindfulness</v>
      </c>
    </row>
    <row r="31">
      <c r="B31" s="9"/>
      <c r="H31" s="14"/>
      <c r="J31" s="14"/>
      <c r="N31" s="9"/>
      <c r="P31" s="9"/>
      <c r="U31" s="14"/>
      <c r="V31" s="9"/>
    </row>
    <row r="32">
      <c r="B32" s="9"/>
      <c r="H32" s="14"/>
      <c r="J32" s="14"/>
      <c r="N32" s="9"/>
      <c r="P32" s="9"/>
      <c r="U32" s="14"/>
      <c r="V32" s="9"/>
    </row>
    <row r="33">
      <c r="B33" s="9"/>
      <c r="H33" s="14"/>
      <c r="J33" s="14"/>
      <c r="N33" s="9"/>
      <c r="P33" s="9"/>
      <c r="U33" s="14"/>
      <c r="V33" s="9"/>
    </row>
    <row r="34">
      <c r="B34" s="9"/>
      <c r="H34" s="14"/>
      <c r="J34" s="14"/>
      <c r="N34" s="9"/>
      <c r="P34" s="9"/>
      <c r="U34" s="14"/>
      <c r="V34" s="9"/>
    </row>
    <row r="35">
      <c r="B35" s="9"/>
      <c r="H35" s="14"/>
      <c r="J35" s="14"/>
      <c r="N35" s="9"/>
      <c r="P35" s="9"/>
      <c r="U35" s="14"/>
      <c r="V35" s="9"/>
    </row>
    <row r="36">
      <c r="B36" s="9"/>
      <c r="H36" s="14"/>
      <c r="J36" s="14"/>
      <c r="N36" s="9"/>
      <c r="P36" s="9"/>
      <c r="U36" s="14"/>
      <c r="V36" s="9"/>
    </row>
    <row r="37">
      <c r="B37" s="9"/>
      <c r="H37" s="14"/>
      <c r="J37" s="14"/>
      <c r="N37" s="9"/>
      <c r="P37" s="9"/>
      <c r="U37" s="14"/>
      <c r="V37" s="9"/>
    </row>
    <row r="38">
      <c r="B38" s="9"/>
      <c r="H38" s="14"/>
      <c r="J38" s="14"/>
      <c r="N38" s="9"/>
      <c r="P38" s="9"/>
      <c r="U38" s="14"/>
      <c r="V38" s="9"/>
    </row>
    <row r="39">
      <c r="B39" s="9"/>
      <c r="H39" s="14"/>
      <c r="J39" s="14"/>
      <c r="N39" s="9"/>
      <c r="P39" s="9"/>
      <c r="U39" s="14"/>
      <c r="V39" s="9"/>
    </row>
    <row r="40">
      <c r="B40" s="9"/>
      <c r="H40" s="14"/>
      <c r="J40" s="14"/>
      <c r="N40" s="9"/>
      <c r="P40" s="9"/>
      <c r="U40" s="14"/>
      <c r="V40" s="9"/>
    </row>
    <row r="41">
      <c r="B41" s="9"/>
      <c r="H41" s="14"/>
      <c r="J41" s="14"/>
      <c r="N41" s="9"/>
      <c r="P41" s="9"/>
      <c r="U41" s="14"/>
      <c r="V41" s="9"/>
    </row>
    <row r="42">
      <c r="B42" s="9"/>
      <c r="H42" s="14"/>
      <c r="J42" s="14"/>
      <c r="N42" s="9"/>
      <c r="P42" s="9"/>
      <c r="U42" s="14"/>
      <c r="V42" s="9"/>
    </row>
    <row r="43">
      <c r="B43" s="9"/>
      <c r="H43" s="14"/>
      <c r="J43" s="14"/>
      <c r="N43" s="9"/>
      <c r="P43" s="9"/>
      <c r="U43" s="14"/>
      <c r="V43" s="9"/>
    </row>
    <row r="44">
      <c r="B44" s="9"/>
      <c r="H44" s="14"/>
      <c r="J44" s="14"/>
      <c r="N44" s="9"/>
      <c r="P44" s="9"/>
      <c r="U44" s="14"/>
      <c r="V44" s="9"/>
    </row>
    <row r="45">
      <c r="B45" s="9"/>
      <c r="H45" s="14"/>
      <c r="J45" s="14"/>
      <c r="N45" s="9"/>
      <c r="P45" s="9"/>
      <c r="U45" s="14"/>
      <c r="V45" s="9"/>
    </row>
    <row r="46">
      <c r="B46" s="9"/>
      <c r="H46" s="14"/>
      <c r="J46" s="14"/>
      <c r="N46" s="9"/>
      <c r="P46" s="9"/>
      <c r="U46" s="14"/>
      <c r="V46" s="9"/>
    </row>
    <row r="47">
      <c r="B47" s="9"/>
      <c r="H47" s="14"/>
      <c r="J47" s="14"/>
      <c r="N47" s="9"/>
      <c r="P47" s="9"/>
      <c r="U47" s="14"/>
      <c r="V47" s="9"/>
    </row>
    <row r="48">
      <c r="B48" s="9"/>
      <c r="H48" s="14"/>
      <c r="J48" s="14"/>
      <c r="N48" s="9"/>
      <c r="P48" s="9"/>
      <c r="U48" s="14"/>
      <c r="V48" s="9"/>
    </row>
    <row r="49">
      <c r="B49" s="9"/>
      <c r="H49" s="14"/>
      <c r="J49" s="14"/>
      <c r="N49" s="9"/>
      <c r="P49" s="9"/>
      <c r="U49" s="14"/>
      <c r="V49" s="9"/>
    </row>
    <row r="50">
      <c r="B50" s="9"/>
      <c r="H50" s="14"/>
      <c r="J50" s="14"/>
      <c r="N50" s="9"/>
      <c r="P50" s="9"/>
      <c r="U50" s="14"/>
      <c r="V50" s="9"/>
    </row>
    <row r="51">
      <c r="B51" s="9"/>
      <c r="H51" s="14"/>
      <c r="J51" s="14"/>
      <c r="N51" s="9"/>
      <c r="P51" s="9"/>
      <c r="U51" s="14"/>
      <c r="V51" s="9"/>
    </row>
    <row r="52">
      <c r="B52" s="9"/>
      <c r="H52" s="14"/>
      <c r="J52" s="14"/>
      <c r="N52" s="9"/>
      <c r="P52" s="9"/>
      <c r="U52" s="14"/>
      <c r="V52" s="9"/>
    </row>
    <row r="53">
      <c r="B53" s="9"/>
      <c r="H53" s="14"/>
      <c r="J53" s="14"/>
      <c r="N53" s="9"/>
      <c r="P53" s="9"/>
      <c r="U53" s="14"/>
      <c r="V53" s="9"/>
    </row>
    <row r="54">
      <c r="B54" s="9"/>
      <c r="H54" s="14"/>
      <c r="J54" s="14"/>
      <c r="N54" s="9"/>
      <c r="P54" s="9"/>
      <c r="U54" s="14"/>
      <c r="V54" s="9"/>
    </row>
    <row r="55">
      <c r="B55" s="9"/>
      <c r="H55" s="14"/>
      <c r="J55" s="14"/>
      <c r="N55" s="9"/>
      <c r="P55" s="9"/>
      <c r="U55" s="14"/>
      <c r="V55" s="9"/>
    </row>
    <row r="56">
      <c r="B56" s="9"/>
      <c r="H56" s="14"/>
      <c r="J56" s="14"/>
      <c r="N56" s="9"/>
      <c r="P56" s="9"/>
      <c r="U56" s="14"/>
      <c r="V56" s="9"/>
    </row>
    <row r="57">
      <c r="B57" s="9"/>
      <c r="H57" s="14"/>
      <c r="J57" s="14"/>
      <c r="N57" s="9"/>
      <c r="P57" s="9"/>
      <c r="U57" s="14"/>
      <c r="V57" s="9"/>
    </row>
    <row r="58">
      <c r="B58" s="9"/>
      <c r="H58" s="14"/>
      <c r="J58" s="14"/>
      <c r="N58" s="9"/>
      <c r="P58" s="9"/>
      <c r="U58" s="14"/>
      <c r="V58" s="9"/>
    </row>
    <row r="59">
      <c r="B59" s="9"/>
      <c r="H59" s="14"/>
      <c r="J59" s="14"/>
      <c r="N59" s="9"/>
      <c r="P59" s="9"/>
      <c r="U59" s="14"/>
      <c r="V59" s="9"/>
    </row>
    <row r="60">
      <c r="B60" s="9"/>
      <c r="H60" s="14"/>
      <c r="J60" s="14"/>
      <c r="N60" s="9"/>
      <c r="P60" s="9"/>
      <c r="U60" s="14"/>
      <c r="V60" s="9"/>
    </row>
    <row r="61">
      <c r="B61" s="9"/>
      <c r="H61" s="14"/>
      <c r="J61" s="14"/>
      <c r="N61" s="9"/>
      <c r="P61" s="9"/>
      <c r="U61" s="14"/>
      <c r="V61" s="9"/>
    </row>
    <row r="62">
      <c r="B62" s="9"/>
      <c r="H62" s="14"/>
      <c r="J62" s="14"/>
      <c r="N62" s="9"/>
      <c r="P62" s="9"/>
      <c r="U62" s="14"/>
      <c r="V62" s="9"/>
    </row>
    <row r="63">
      <c r="B63" s="9"/>
      <c r="H63" s="14"/>
      <c r="J63" s="14"/>
      <c r="N63" s="9"/>
      <c r="P63" s="9"/>
      <c r="U63" s="14"/>
      <c r="V63" s="9"/>
    </row>
    <row r="64">
      <c r="B64" s="9"/>
      <c r="H64" s="14"/>
      <c r="J64" s="14"/>
      <c r="N64" s="9"/>
      <c r="P64" s="9"/>
      <c r="U64" s="14"/>
      <c r="V64" s="9"/>
    </row>
    <row r="65">
      <c r="B65" s="9"/>
      <c r="H65" s="14"/>
      <c r="J65" s="14"/>
      <c r="N65" s="9"/>
      <c r="P65" s="9"/>
      <c r="U65" s="14"/>
      <c r="V65" s="9"/>
    </row>
    <row r="66">
      <c r="B66" s="9"/>
      <c r="H66" s="14"/>
      <c r="J66" s="14"/>
      <c r="N66" s="9"/>
      <c r="P66" s="9"/>
      <c r="U66" s="14"/>
      <c r="V66" s="9"/>
    </row>
    <row r="67">
      <c r="B67" s="9"/>
      <c r="H67" s="14"/>
      <c r="J67" s="14"/>
      <c r="N67" s="9"/>
      <c r="P67" s="9"/>
      <c r="U67" s="14"/>
      <c r="V67" s="9"/>
    </row>
    <row r="68">
      <c r="B68" s="9"/>
      <c r="H68" s="14"/>
      <c r="J68" s="14"/>
      <c r="N68" s="9"/>
      <c r="P68" s="9"/>
      <c r="U68" s="14"/>
      <c r="V68" s="9"/>
    </row>
    <row r="69">
      <c r="B69" s="9"/>
      <c r="H69" s="14"/>
      <c r="J69" s="14"/>
      <c r="N69" s="9"/>
      <c r="P69" s="9"/>
      <c r="U69" s="14"/>
      <c r="V69" s="9"/>
    </row>
    <row r="70">
      <c r="B70" s="9"/>
      <c r="H70" s="14"/>
      <c r="J70" s="14"/>
      <c r="N70" s="9"/>
      <c r="P70" s="9"/>
      <c r="U70" s="14"/>
      <c r="V70" s="9"/>
    </row>
    <row r="71">
      <c r="B71" s="9"/>
      <c r="H71" s="14"/>
      <c r="J71" s="14"/>
      <c r="N71" s="9"/>
      <c r="P71" s="9"/>
      <c r="U71" s="14"/>
      <c r="V71" s="9"/>
    </row>
    <row r="72">
      <c r="B72" s="9"/>
      <c r="H72" s="14"/>
      <c r="J72" s="14"/>
      <c r="N72" s="9"/>
      <c r="P72" s="9"/>
      <c r="U72" s="14"/>
      <c r="V72" s="9"/>
    </row>
    <row r="73">
      <c r="B73" s="9"/>
      <c r="H73" s="14"/>
      <c r="J73" s="14"/>
      <c r="N73" s="9"/>
      <c r="P73" s="9"/>
      <c r="U73" s="14"/>
      <c r="V73" s="9"/>
    </row>
    <row r="74">
      <c r="B74" s="9"/>
      <c r="H74" s="14"/>
      <c r="J74" s="14"/>
      <c r="N74" s="9"/>
      <c r="P74" s="9"/>
      <c r="U74" s="14"/>
      <c r="V74" s="9"/>
    </row>
    <row r="75">
      <c r="B75" s="9"/>
      <c r="H75" s="14"/>
      <c r="J75" s="14"/>
      <c r="N75" s="9"/>
      <c r="P75" s="9"/>
      <c r="U75" s="14"/>
      <c r="V75" s="9"/>
    </row>
    <row r="76">
      <c r="B76" s="9"/>
      <c r="H76" s="14"/>
      <c r="J76" s="14"/>
      <c r="N76" s="9"/>
      <c r="P76" s="9"/>
      <c r="U76" s="14"/>
      <c r="V76" s="9"/>
    </row>
    <row r="77">
      <c r="B77" s="9"/>
      <c r="H77" s="14"/>
      <c r="J77" s="14"/>
      <c r="N77" s="9"/>
      <c r="P77" s="9"/>
      <c r="U77" s="14"/>
      <c r="V77" s="9"/>
    </row>
    <row r="78">
      <c r="B78" s="9"/>
      <c r="H78" s="14"/>
      <c r="J78" s="14"/>
      <c r="N78" s="9"/>
      <c r="P78" s="9"/>
      <c r="U78" s="14"/>
      <c r="V78" s="9"/>
    </row>
    <row r="79">
      <c r="B79" s="9"/>
      <c r="H79" s="14"/>
      <c r="J79" s="14"/>
      <c r="N79" s="9"/>
      <c r="P79" s="9"/>
      <c r="U79" s="14"/>
      <c r="V79" s="9"/>
    </row>
    <row r="80">
      <c r="B80" s="9"/>
      <c r="H80" s="14"/>
      <c r="J80" s="14"/>
      <c r="N80" s="9"/>
      <c r="P80" s="9"/>
      <c r="U80" s="14"/>
      <c r="V80" s="9"/>
    </row>
    <row r="81">
      <c r="B81" s="9"/>
      <c r="H81" s="14"/>
      <c r="J81" s="14"/>
      <c r="N81" s="9"/>
      <c r="P81" s="9"/>
      <c r="U81" s="14"/>
      <c r="V81" s="9"/>
    </row>
    <row r="82">
      <c r="B82" s="9"/>
      <c r="H82" s="14"/>
      <c r="J82" s="14"/>
      <c r="N82" s="9"/>
      <c r="P82" s="9"/>
      <c r="U82" s="14"/>
      <c r="V82" s="9"/>
    </row>
    <row r="83">
      <c r="B83" s="9"/>
      <c r="H83" s="14"/>
      <c r="J83" s="14"/>
      <c r="N83" s="9"/>
      <c r="P83" s="9"/>
      <c r="U83" s="14"/>
      <c r="V83" s="9"/>
    </row>
    <row r="84">
      <c r="B84" s="9"/>
      <c r="H84" s="14"/>
      <c r="J84" s="14"/>
      <c r="N84" s="9"/>
      <c r="P84" s="9"/>
      <c r="U84" s="14"/>
      <c r="V84" s="9"/>
    </row>
    <row r="85">
      <c r="B85" s="9"/>
      <c r="H85" s="14"/>
      <c r="J85" s="14"/>
      <c r="N85" s="9"/>
      <c r="P85" s="9"/>
      <c r="U85" s="14"/>
      <c r="V85" s="9"/>
    </row>
    <row r="86">
      <c r="B86" s="9"/>
      <c r="H86" s="14"/>
      <c r="J86" s="14"/>
      <c r="N86" s="9"/>
      <c r="P86" s="9"/>
      <c r="U86" s="14"/>
      <c r="V86" s="9"/>
    </row>
    <row r="87">
      <c r="B87" s="9"/>
      <c r="H87" s="14"/>
      <c r="J87" s="14"/>
      <c r="N87" s="9"/>
      <c r="P87" s="9"/>
      <c r="U87" s="14"/>
      <c r="V87" s="9"/>
    </row>
    <row r="88">
      <c r="B88" s="9"/>
      <c r="H88" s="14"/>
      <c r="J88" s="14"/>
      <c r="N88" s="9"/>
      <c r="P88" s="9"/>
      <c r="U88" s="14"/>
      <c r="V88" s="9"/>
    </row>
    <row r="89">
      <c r="B89" s="9"/>
      <c r="H89" s="14"/>
      <c r="J89" s="14"/>
      <c r="N89" s="9"/>
      <c r="P89" s="9"/>
      <c r="U89" s="14"/>
      <c r="V89" s="9"/>
    </row>
    <row r="90">
      <c r="B90" s="9"/>
      <c r="H90" s="14"/>
      <c r="J90" s="14"/>
      <c r="N90" s="9"/>
      <c r="P90" s="9"/>
      <c r="U90" s="14"/>
      <c r="V90" s="9"/>
    </row>
    <row r="91">
      <c r="B91" s="9"/>
      <c r="H91" s="14"/>
      <c r="J91" s="14"/>
      <c r="N91" s="9"/>
      <c r="P91" s="9"/>
      <c r="U91" s="14"/>
      <c r="V91" s="9"/>
    </row>
    <row r="92">
      <c r="B92" s="9"/>
      <c r="H92" s="14"/>
      <c r="J92" s="14"/>
      <c r="N92" s="9"/>
      <c r="P92" s="9"/>
      <c r="U92" s="14"/>
      <c r="V92" s="9"/>
    </row>
    <row r="93">
      <c r="B93" s="9"/>
      <c r="H93" s="14"/>
      <c r="J93" s="14"/>
      <c r="N93" s="9"/>
      <c r="P93" s="9"/>
      <c r="U93" s="14"/>
      <c r="V93" s="9"/>
    </row>
    <row r="94">
      <c r="B94" s="9"/>
      <c r="H94" s="14"/>
      <c r="J94" s="14"/>
      <c r="N94" s="9"/>
      <c r="P94" s="9"/>
      <c r="U94" s="14"/>
      <c r="V94" s="9"/>
    </row>
    <row r="95">
      <c r="B95" s="9"/>
      <c r="H95" s="14"/>
      <c r="J95" s="14"/>
      <c r="N95" s="9"/>
      <c r="P95" s="9"/>
      <c r="U95" s="14"/>
      <c r="V95" s="9"/>
    </row>
    <row r="96">
      <c r="B96" s="9"/>
      <c r="H96" s="14"/>
      <c r="J96" s="14"/>
      <c r="N96" s="9"/>
      <c r="P96" s="9"/>
      <c r="U96" s="14"/>
      <c r="V96" s="9"/>
    </row>
    <row r="97">
      <c r="B97" s="9"/>
      <c r="H97" s="14"/>
      <c r="J97" s="14"/>
      <c r="N97" s="9"/>
      <c r="P97" s="9"/>
      <c r="U97" s="14"/>
      <c r="V97" s="9"/>
    </row>
    <row r="98">
      <c r="B98" s="9"/>
      <c r="H98" s="14"/>
      <c r="J98" s="14"/>
      <c r="N98" s="9"/>
      <c r="P98" s="9"/>
      <c r="U98" s="14"/>
      <c r="V98" s="9"/>
    </row>
    <row r="99">
      <c r="B99" s="9"/>
      <c r="H99" s="14"/>
      <c r="J99" s="14"/>
      <c r="N99" s="9"/>
      <c r="P99" s="9"/>
      <c r="U99" s="14"/>
      <c r="V99" s="9"/>
    </row>
    <row r="100">
      <c r="B100" s="9"/>
      <c r="H100" s="14"/>
      <c r="J100" s="14"/>
      <c r="N100" s="9"/>
      <c r="P100" s="9"/>
      <c r="U100" s="14"/>
      <c r="V100" s="9"/>
    </row>
    <row r="101">
      <c r="B101" s="9"/>
      <c r="H101" s="14"/>
      <c r="J101" s="14"/>
      <c r="N101" s="9"/>
      <c r="P101" s="9"/>
      <c r="U101" s="14"/>
      <c r="V101" s="9"/>
    </row>
    <row r="102">
      <c r="B102" s="9"/>
      <c r="H102" s="14"/>
      <c r="J102" s="14"/>
      <c r="N102" s="9"/>
      <c r="P102" s="9"/>
      <c r="U102" s="14"/>
      <c r="V102" s="9"/>
    </row>
    <row r="103">
      <c r="B103" s="9"/>
      <c r="H103" s="14"/>
      <c r="J103" s="14"/>
      <c r="N103" s="9"/>
      <c r="P103" s="9"/>
      <c r="U103" s="14"/>
      <c r="V103" s="9"/>
    </row>
    <row r="104">
      <c r="B104" s="9"/>
      <c r="H104" s="14"/>
      <c r="J104" s="14"/>
      <c r="N104" s="9"/>
      <c r="P104" s="9"/>
      <c r="U104" s="14"/>
      <c r="V104" s="9"/>
    </row>
    <row r="105">
      <c r="B105" s="9"/>
      <c r="H105" s="14"/>
      <c r="J105" s="14"/>
      <c r="N105" s="9"/>
      <c r="P105" s="9"/>
      <c r="U105" s="14"/>
      <c r="V105" s="9"/>
    </row>
    <row r="106">
      <c r="B106" s="9"/>
      <c r="H106" s="14"/>
      <c r="J106" s="14"/>
      <c r="N106" s="9"/>
      <c r="P106" s="9"/>
      <c r="U106" s="14"/>
      <c r="V106" s="9"/>
    </row>
    <row r="107">
      <c r="B107" s="9"/>
      <c r="H107" s="14"/>
      <c r="J107" s="14"/>
      <c r="N107" s="9"/>
      <c r="P107" s="9"/>
      <c r="U107" s="14"/>
      <c r="V107" s="9"/>
    </row>
    <row r="108">
      <c r="B108" s="9"/>
      <c r="H108" s="14"/>
      <c r="J108" s="14"/>
      <c r="N108" s="9"/>
      <c r="P108" s="9"/>
      <c r="U108" s="14"/>
      <c r="V108" s="9"/>
    </row>
    <row r="109">
      <c r="B109" s="9"/>
      <c r="H109" s="14"/>
      <c r="J109" s="14"/>
      <c r="N109" s="9"/>
      <c r="P109" s="9"/>
      <c r="U109" s="14"/>
      <c r="V109" s="9"/>
    </row>
    <row r="110">
      <c r="B110" s="9"/>
      <c r="H110" s="14"/>
      <c r="J110" s="14"/>
      <c r="N110" s="9"/>
      <c r="P110" s="9"/>
      <c r="U110" s="14"/>
      <c r="V110" s="9"/>
    </row>
    <row r="111">
      <c r="B111" s="9"/>
      <c r="H111" s="14"/>
      <c r="J111" s="14"/>
      <c r="N111" s="9"/>
      <c r="P111" s="9"/>
      <c r="U111" s="14"/>
      <c r="V111" s="9"/>
    </row>
    <row r="112">
      <c r="B112" s="9"/>
      <c r="H112" s="14"/>
      <c r="J112" s="14"/>
      <c r="N112" s="9"/>
      <c r="P112" s="9"/>
      <c r="U112" s="14"/>
      <c r="V112" s="9"/>
    </row>
    <row r="113">
      <c r="B113" s="9"/>
      <c r="H113" s="14"/>
      <c r="J113" s="14"/>
      <c r="N113" s="9"/>
      <c r="P113" s="9"/>
      <c r="U113" s="14"/>
      <c r="V113" s="9"/>
    </row>
    <row r="114">
      <c r="B114" s="9"/>
      <c r="H114" s="14"/>
      <c r="J114" s="14"/>
      <c r="N114" s="9"/>
      <c r="P114" s="9"/>
      <c r="U114" s="14"/>
      <c r="V114" s="9"/>
    </row>
    <row r="115">
      <c r="B115" s="9"/>
      <c r="H115" s="14"/>
      <c r="J115" s="14"/>
      <c r="N115" s="9"/>
      <c r="P115" s="9"/>
      <c r="U115" s="14"/>
      <c r="V115" s="9"/>
    </row>
    <row r="116">
      <c r="B116" s="9"/>
      <c r="H116" s="14"/>
      <c r="J116" s="14"/>
      <c r="N116" s="9"/>
      <c r="P116" s="9"/>
      <c r="U116" s="14"/>
      <c r="V116" s="9"/>
    </row>
    <row r="117">
      <c r="B117" s="9"/>
      <c r="H117" s="14"/>
      <c r="J117" s="14"/>
      <c r="N117" s="9"/>
      <c r="P117" s="9"/>
      <c r="U117" s="14"/>
      <c r="V117" s="9"/>
    </row>
    <row r="118">
      <c r="B118" s="9"/>
      <c r="H118" s="14"/>
      <c r="J118" s="14"/>
      <c r="N118" s="9"/>
      <c r="P118" s="9"/>
      <c r="U118" s="14"/>
      <c r="V118" s="9"/>
    </row>
    <row r="119">
      <c r="B119" s="9"/>
      <c r="H119" s="14"/>
      <c r="J119" s="14"/>
      <c r="N119" s="9"/>
      <c r="P119" s="9"/>
      <c r="U119" s="14"/>
      <c r="V119" s="9"/>
    </row>
    <row r="120">
      <c r="B120" s="9"/>
      <c r="H120" s="14"/>
      <c r="J120" s="14"/>
      <c r="N120" s="9"/>
      <c r="P120" s="9"/>
      <c r="U120" s="14"/>
      <c r="V120" s="9"/>
    </row>
    <row r="121">
      <c r="B121" s="9"/>
      <c r="H121" s="14"/>
      <c r="J121" s="14"/>
      <c r="N121" s="9"/>
      <c r="P121" s="9"/>
      <c r="U121" s="14"/>
      <c r="V121" s="9"/>
    </row>
    <row r="122">
      <c r="B122" s="9"/>
      <c r="H122" s="14"/>
      <c r="J122" s="14"/>
      <c r="N122" s="9"/>
      <c r="P122" s="9"/>
      <c r="U122" s="14"/>
      <c r="V122" s="9"/>
    </row>
    <row r="123">
      <c r="B123" s="9"/>
      <c r="H123" s="14"/>
      <c r="J123" s="14"/>
      <c r="N123" s="9"/>
      <c r="P123" s="9"/>
      <c r="U123" s="14"/>
      <c r="V123" s="9"/>
    </row>
    <row r="124">
      <c r="B124" s="9"/>
      <c r="H124" s="14"/>
      <c r="J124" s="14"/>
      <c r="N124" s="9"/>
      <c r="P124" s="9"/>
      <c r="U124" s="14"/>
      <c r="V124" s="9"/>
    </row>
    <row r="125">
      <c r="B125" s="9"/>
      <c r="H125" s="14"/>
      <c r="J125" s="14"/>
      <c r="N125" s="9"/>
      <c r="P125" s="9"/>
      <c r="U125" s="14"/>
      <c r="V125" s="9"/>
    </row>
    <row r="126">
      <c r="B126" s="9"/>
      <c r="H126" s="14"/>
      <c r="J126" s="14"/>
      <c r="N126" s="9"/>
      <c r="P126" s="9"/>
      <c r="U126" s="14"/>
      <c r="V126" s="9"/>
    </row>
    <row r="127">
      <c r="B127" s="9"/>
      <c r="H127" s="14"/>
      <c r="J127" s="14"/>
      <c r="N127" s="9"/>
      <c r="P127" s="9"/>
      <c r="U127" s="14"/>
      <c r="V127" s="9"/>
    </row>
    <row r="128">
      <c r="B128" s="9"/>
      <c r="H128" s="14"/>
      <c r="J128" s="14"/>
      <c r="N128" s="9"/>
      <c r="P128" s="9"/>
      <c r="U128" s="14"/>
      <c r="V128" s="9"/>
    </row>
    <row r="129">
      <c r="B129" s="9"/>
      <c r="H129" s="14"/>
      <c r="J129" s="14"/>
      <c r="N129" s="9"/>
      <c r="P129" s="9"/>
      <c r="U129" s="14"/>
      <c r="V129" s="9"/>
    </row>
    <row r="130">
      <c r="B130" s="9"/>
      <c r="H130" s="14"/>
      <c r="J130" s="14"/>
      <c r="N130" s="9"/>
      <c r="P130" s="9"/>
      <c r="U130" s="14"/>
      <c r="V130" s="9"/>
    </row>
    <row r="131">
      <c r="B131" s="9"/>
      <c r="H131" s="14"/>
      <c r="J131" s="14"/>
      <c r="N131" s="9"/>
      <c r="P131" s="9"/>
      <c r="U131" s="14"/>
      <c r="V131" s="9"/>
    </row>
    <row r="132">
      <c r="B132" s="9"/>
      <c r="H132" s="14"/>
      <c r="J132" s="14"/>
      <c r="N132" s="9"/>
      <c r="P132" s="9"/>
      <c r="U132" s="14"/>
      <c r="V132" s="9"/>
    </row>
    <row r="133">
      <c r="B133" s="9"/>
      <c r="H133" s="14"/>
      <c r="J133" s="14"/>
      <c r="N133" s="9"/>
      <c r="P133" s="9"/>
      <c r="U133" s="14"/>
      <c r="V133" s="9"/>
    </row>
    <row r="134">
      <c r="B134" s="9"/>
      <c r="H134" s="14"/>
      <c r="J134" s="14"/>
      <c r="N134" s="9"/>
      <c r="P134" s="9"/>
      <c r="U134" s="14"/>
      <c r="V134" s="9"/>
    </row>
    <row r="135">
      <c r="B135" s="9"/>
      <c r="H135" s="14"/>
      <c r="J135" s="14"/>
      <c r="N135" s="9"/>
      <c r="P135" s="9"/>
      <c r="U135" s="14"/>
      <c r="V135" s="9"/>
    </row>
    <row r="136">
      <c r="B136" s="9"/>
      <c r="H136" s="14"/>
      <c r="J136" s="14"/>
      <c r="N136" s="9"/>
      <c r="P136" s="9"/>
      <c r="U136" s="14"/>
      <c r="V136" s="9"/>
    </row>
    <row r="137">
      <c r="B137" s="9"/>
      <c r="H137" s="14"/>
      <c r="J137" s="14"/>
      <c r="N137" s="9"/>
      <c r="P137" s="9"/>
      <c r="U137" s="14"/>
      <c r="V137" s="9"/>
    </row>
    <row r="138">
      <c r="B138" s="9"/>
      <c r="H138" s="14"/>
      <c r="J138" s="14"/>
      <c r="N138" s="9"/>
      <c r="P138" s="9"/>
      <c r="U138" s="14"/>
      <c r="V138" s="9"/>
    </row>
    <row r="139">
      <c r="B139" s="9"/>
      <c r="H139" s="14"/>
      <c r="J139" s="14"/>
      <c r="N139" s="9"/>
      <c r="P139" s="9"/>
      <c r="U139" s="14"/>
      <c r="V139" s="9"/>
    </row>
    <row r="140">
      <c r="B140" s="9"/>
      <c r="H140" s="14"/>
      <c r="J140" s="14"/>
      <c r="N140" s="9"/>
      <c r="P140" s="9"/>
      <c r="U140" s="14"/>
      <c r="V140" s="9"/>
    </row>
    <row r="141">
      <c r="B141" s="9"/>
      <c r="H141" s="14"/>
      <c r="J141" s="14"/>
      <c r="N141" s="9"/>
      <c r="P141" s="9"/>
      <c r="U141" s="14"/>
      <c r="V141" s="9"/>
    </row>
    <row r="142">
      <c r="B142" s="9"/>
      <c r="H142" s="14"/>
      <c r="J142" s="14"/>
      <c r="N142" s="9"/>
      <c r="P142" s="9"/>
      <c r="U142" s="14"/>
      <c r="V142" s="9"/>
    </row>
    <row r="143">
      <c r="B143" s="9"/>
      <c r="H143" s="14"/>
      <c r="J143" s="14"/>
      <c r="N143" s="9"/>
      <c r="P143" s="9"/>
      <c r="U143" s="14"/>
      <c r="V143" s="9"/>
    </row>
    <row r="144">
      <c r="B144" s="9"/>
      <c r="H144" s="14"/>
      <c r="J144" s="14"/>
      <c r="N144" s="9"/>
      <c r="P144" s="9"/>
      <c r="U144" s="14"/>
      <c r="V144" s="9"/>
    </row>
    <row r="145">
      <c r="B145" s="9"/>
      <c r="H145" s="14"/>
      <c r="J145" s="14"/>
      <c r="N145" s="9"/>
      <c r="P145" s="9"/>
      <c r="U145" s="14"/>
      <c r="V145" s="9"/>
    </row>
    <row r="146">
      <c r="B146" s="9"/>
      <c r="H146" s="14"/>
      <c r="J146" s="14"/>
      <c r="N146" s="9"/>
      <c r="P146" s="9"/>
      <c r="U146" s="14"/>
      <c r="V146" s="9"/>
    </row>
    <row r="147">
      <c r="B147" s="9"/>
      <c r="H147" s="14"/>
      <c r="J147" s="14"/>
      <c r="N147" s="9"/>
      <c r="P147" s="9"/>
      <c r="U147" s="14"/>
      <c r="V147" s="9"/>
    </row>
    <row r="148">
      <c r="B148" s="9"/>
      <c r="H148" s="14"/>
      <c r="J148" s="14"/>
      <c r="N148" s="9"/>
      <c r="P148" s="9"/>
      <c r="U148" s="14"/>
      <c r="V148" s="9"/>
    </row>
    <row r="149">
      <c r="B149" s="9"/>
      <c r="H149" s="14"/>
      <c r="J149" s="14"/>
      <c r="N149" s="9"/>
      <c r="P149" s="9"/>
      <c r="U149" s="14"/>
      <c r="V149" s="9"/>
    </row>
    <row r="150">
      <c r="B150" s="9"/>
      <c r="H150" s="14"/>
      <c r="J150" s="14"/>
      <c r="N150" s="9"/>
      <c r="P150" s="9"/>
      <c r="U150" s="14"/>
      <c r="V150" s="9"/>
    </row>
    <row r="151">
      <c r="B151" s="9"/>
      <c r="H151" s="14"/>
      <c r="J151" s="14"/>
      <c r="N151" s="9"/>
      <c r="P151" s="9"/>
      <c r="U151" s="14"/>
      <c r="V151" s="9"/>
    </row>
    <row r="152">
      <c r="B152" s="9"/>
      <c r="H152" s="14"/>
      <c r="J152" s="14"/>
      <c r="N152" s="9"/>
      <c r="P152" s="9"/>
      <c r="U152" s="14"/>
      <c r="V152" s="9"/>
    </row>
    <row r="153">
      <c r="B153" s="9"/>
      <c r="H153" s="14"/>
      <c r="J153" s="14"/>
      <c r="N153" s="9"/>
      <c r="P153" s="9"/>
      <c r="U153" s="14"/>
      <c r="V153" s="9"/>
    </row>
    <row r="154">
      <c r="B154" s="9"/>
      <c r="H154" s="14"/>
      <c r="J154" s="14"/>
      <c r="N154" s="9"/>
      <c r="P154" s="9"/>
      <c r="U154" s="14"/>
      <c r="V154" s="9"/>
    </row>
    <row r="155">
      <c r="B155" s="9"/>
      <c r="H155" s="14"/>
      <c r="J155" s="14"/>
      <c r="N155" s="9"/>
      <c r="P155" s="9"/>
      <c r="U155" s="14"/>
      <c r="V155" s="9"/>
    </row>
    <row r="156">
      <c r="B156" s="9"/>
      <c r="H156" s="14"/>
      <c r="J156" s="14"/>
      <c r="N156" s="9"/>
      <c r="P156" s="9"/>
      <c r="U156" s="14"/>
      <c r="V156" s="9"/>
    </row>
    <row r="157">
      <c r="B157" s="9"/>
      <c r="H157" s="14"/>
      <c r="J157" s="14"/>
      <c r="N157" s="9"/>
      <c r="P157" s="9"/>
      <c r="U157" s="14"/>
      <c r="V157" s="9"/>
    </row>
    <row r="158">
      <c r="B158" s="9"/>
      <c r="H158" s="14"/>
      <c r="J158" s="14"/>
      <c r="N158" s="9"/>
      <c r="P158" s="9"/>
      <c r="U158" s="14"/>
      <c r="V158" s="9"/>
    </row>
    <row r="159">
      <c r="B159" s="9"/>
      <c r="H159" s="14"/>
      <c r="J159" s="14"/>
      <c r="N159" s="9"/>
      <c r="P159" s="9"/>
      <c r="U159" s="14"/>
      <c r="V159" s="9"/>
    </row>
    <row r="160">
      <c r="B160" s="9"/>
      <c r="H160" s="14"/>
      <c r="J160" s="14"/>
      <c r="N160" s="9"/>
      <c r="P160" s="9"/>
      <c r="U160" s="14"/>
      <c r="V160" s="9"/>
    </row>
    <row r="161">
      <c r="B161" s="9"/>
      <c r="H161" s="14"/>
      <c r="J161" s="14"/>
      <c r="N161" s="9"/>
      <c r="P161" s="9"/>
      <c r="U161" s="14"/>
      <c r="V161" s="9"/>
    </row>
    <row r="162">
      <c r="B162" s="9"/>
      <c r="H162" s="14"/>
      <c r="J162" s="14"/>
      <c r="N162" s="9"/>
      <c r="P162" s="9"/>
      <c r="U162" s="14"/>
      <c r="V162" s="9"/>
    </row>
    <row r="163">
      <c r="B163" s="9"/>
      <c r="H163" s="14"/>
      <c r="J163" s="14"/>
      <c r="N163" s="9"/>
      <c r="P163" s="9"/>
      <c r="U163" s="14"/>
      <c r="V163" s="9"/>
    </row>
    <row r="164">
      <c r="B164" s="9"/>
      <c r="H164" s="14"/>
      <c r="J164" s="14"/>
      <c r="N164" s="9"/>
      <c r="P164" s="9"/>
      <c r="U164" s="14"/>
      <c r="V164" s="9"/>
    </row>
    <row r="165">
      <c r="B165" s="9"/>
      <c r="H165" s="14"/>
      <c r="J165" s="14"/>
      <c r="N165" s="9"/>
      <c r="P165" s="9"/>
      <c r="U165" s="14"/>
      <c r="V165" s="9"/>
    </row>
    <row r="166">
      <c r="B166" s="9"/>
      <c r="H166" s="14"/>
      <c r="J166" s="14"/>
      <c r="N166" s="9"/>
      <c r="P166" s="9"/>
      <c r="U166" s="14"/>
      <c r="V166" s="9"/>
    </row>
    <row r="167">
      <c r="B167" s="9"/>
      <c r="H167" s="14"/>
      <c r="J167" s="14"/>
      <c r="N167" s="9"/>
      <c r="P167" s="9"/>
      <c r="U167" s="14"/>
      <c r="V167" s="9"/>
    </row>
    <row r="168">
      <c r="B168" s="9"/>
      <c r="H168" s="14"/>
      <c r="J168" s="14"/>
      <c r="N168" s="9"/>
      <c r="P168" s="9"/>
      <c r="U168" s="14"/>
      <c r="V168" s="9"/>
    </row>
    <row r="169">
      <c r="B169" s="9"/>
      <c r="H169" s="14"/>
      <c r="J169" s="14"/>
      <c r="N169" s="9"/>
      <c r="P169" s="9"/>
      <c r="U169" s="14"/>
      <c r="V169" s="9"/>
    </row>
    <row r="170">
      <c r="B170" s="9"/>
      <c r="H170" s="14"/>
      <c r="J170" s="14"/>
      <c r="N170" s="9"/>
      <c r="P170" s="9"/>
      <c r="U170" s="14"/>
      <c r="V170" s="9"/>
    </row>
    <row r="171">
      <c r="B171" s="9"/>
      <c r="H171" s="14"/>
      <c r="J171" s="14"/>
      <c r="N171" s="9"/>
      <c r="P171" s="9"/>
      <c r="U171" s="14"/>
      <c r="V171" s="9"/>
    </row>
    <row r="172">
      <c r="B172" s="9"/>
      <c r="H172" s="14"/>
      <c r="J172" s="14"/>
      <c r="N172" s="9"/>
      <c r="P172" s="9"/>
      <c r="U172" s="14"/>
      <c r="V172" s="9"/>
    </row>
    <row r="173">
      <c r="B173" s="9"/>
      <c r="H173" s="14"/>
      <c r="J173" s="14"/>
      <c r="N173" s="9"/>
      <c r="P173" s="9"/>
      <c r="U173" s="14"/>
      <c r="V173" s="9"/>
    </row>
    <row r="174">
      <c r="B174" s="9"/>
      <c r="H174" s="14"/>
      <c r="J174" s="14"/>
      <c r="N174" s="9"/>
      <c r="P174" s="9"/>
      <c r="U174" s="14"/>
      <c r="V174" s="9"/>
    </row>
    <row r="175">
      <c r="B175" s="9"/>
      <c r="H175" s="14"/>
      <c r="J175" s="14"/>
      <c r="N175" s="9"/>
      <c r="P175" s="9"/>
      <c r="U175" s="14"/>
      <c r="V175" s="9"/>
    </row>
    <row r="176">
      <c r="B176" s="9"/>
      <c r="H176" s="14"/>
      <c r="J176" s="14"/>
      <c r="N176" s="9"/>
      <c r="P176" s="9"/>
      <c r="U176" s="14"/>
      <c r="V176" s="9"/>
    </row>
    <row r="177">
      <c r="B177" s="9"/>
      <c r="H177" s="14"/>
      <c r="J177" s="14"/>
      <c r="N177" s="9"/>
      <c r="P177" s="9"/>
      <c r="U177" s="14"/>
      <c r="V177" s="9"/>
    </row>
    <row r="178">
      <c r="B178" s="9"/>
      <c r="H178" s="14"/>
      <c r="J178" s="14"/>
      <c r="N178" s="9"/>
      <c r="P178" s="9"/>
      <c r="U178" s="14"/>
      <c r="V178" s="9"/>
    </row>
    <row r="179">
      <c r="B179" s="9"/>
      <c r="H179" s="14"/>
      <c r="J179" s="14"/>
      <c r="N179" s="9"/>
      <c r="P179" s="9"/>
      <c r="U179" s="14"/>
      <c r="V179" s="9"/>
    </row>
    <row r="180">
      <c r="B180" s="9"/>
      <c r="H180" s="14"/>
      <c r="J180" s="14"/>
      <c r="N180" s="9"/>
      <c r="P180" s="9"/>
      <c r="U180" s="14"/>
      <c r="V180" s="9"/>
    </row>
    <row r="181">
      <c r="B181" s="9"/>
      <c r="H181" s="14"/>
      <c r="J181" s="14"/>
      <c r="N181" s="9"/>
      <c r="P181" s="9"/>
      <c r="U181" s="14"/>
      <c r="V181" s="9"/>
    </row>
    <row r="182">
      <c r="B182" s="9"/>
      <c r="H182" s="14"/>
      <c r="J182" s="14"/>
      <c r="N182" s="9"/>
      <c r="P182" s="9"/>
      <c r="U182" s="14"/>
      <c r="V182" s="9"/>
    </row>
    <row r="183">
      <c r="B183" s="9"/>
      <c r="H183" s="14"/>
      <c r="J183" s="14"/>
      <c r="N183" s="9"/>
      <c r="P183" s="9"/>
      <c r="U183" s="14"/>
      <c r="V183" s="9"/>
    </row>
    <row r="184">
      <c r="B184" s="9"/>
      <c r="H184" s="14"/>
      <c r="J184" s="14"/>
      <c r="N184" s="9"/>
      <c r="P184" s="9"/>
      <c r="U184" s="14"/>
      <c r="V184" s="9"/>
    </row>
    <row r="185">
      <c r="B185" s="9"/>
      <c r="H185" s="14"/>
      <c r="J185" s="14"/>
      <c r="N185" s="9"/>
      <c r="P185" s="9"/>
      <c r="U185" s="14"/>
      <c r="V185" s="9"/>
    </row>
    <row r="186">
      <c r="B186" s="9"/>
      <c r="H186" s="14"/>
      <c r="J186" s="14"/>
      <c r="N186" s="9"/>
      <c r="P186" s="9"/>
      <c r="U186" s="14"/>
      <c r="V186" s="9"/>
    </row>
    <row r="187">
      <c r="B187" s="9"/>
      <c r="H187" s="14"/>
      <c r="J187" s="14"/>
      <c r="N187" s="9"/>
      <c r="P187" s="9"/>
      <c r="U187" s="14"/>
      <c r="V187" s="9"/>
    </row>
    <row r="188">
      <c r="B188" s="9"/>
      <c r="H188" s="14"/>
      <c r="J188" s="14"/>
      <c r="N188" s="9"/>
      <c r="P188" s="9"/>
      <c r="U188" s="14"/>
      <c r="V188" s="9"/>
    </row>
    <row r="189">
      <c r="B189" s="9"/>
      <c r="H189" s="14"/>
      <c r="J189" s="14"/>
      <c r="N189" s="9"/>
      <c r="P189" s="9"/>
      <c r="U189" s="14"/>
      <c r="V189" s="9"/>
    </row>
    <row r="190">
      <c r="B190" s="9"/>
      <c r="H190" s="14"/>
      <c r="J190" s="14"/>
      <c r="N190" s="9"/>
      <c r="P190" s="9"/>
      <c r="U190" s="14"/>
      <c r="V190" s="9"/>
    </row>
    <row r="191">
      <c r="B191" s="9"/>
      <c r="H191" s="14"/>
      <c r="J191" s="14"/>
      <c r="N191" s="9"/>
      <c r="P191" s="9"/>
      <c r="U191" s="14"/>
      <c r="V191" s="9"/>
    </row>
    <row r="192">
      <c r="B192" s="9"/>
      <c r="H192" s="14"/>
      <c r="J192" s="14"/>
      <c r="N192" s="9"/>
      <c r="P192" s="9"/>
      <c r="U192" s="14"/>
      <c r="V192" s="9"/>
    </row>
    <row r="193">
      <c r="B193" s="9"/>
      <c r="H193" s="14"/>
      <c r="J193" s="14"/>
      <c r="N193" s="9"/>
      <c r="P193" s="9"/>
      <c r="U193" s="14"/>
      <c r="V193" s="9"/>
    </row>
    <row r="194">
      <c r="B194" s="9"/>
      <c r="H194" s="14"/>
      <c r="J194" s="14"/>
      <c r="N194" s="9"/>
      <c r="P194" s="9"/>
      <c r="U194" s="14"/>
      <c r="V194" s="9"/>
    </row>
    <row r="195">
      <c r="B195" s="9"/>
      <c r="H195" s="14"/>
      <c r="J195" s="14"/>
      <c r="N195" s="9"/>
      <c r="P195" s="9"/>
      <c r="U195" s="14"/>
      <c r="V195" s="9"/>
    </row>
    <row r="196">
      <c r="B196" s="9"/>
      <c r="H196" s="14"/>
      <c r="J196" s="14"/>
      <c r="N196" s="9"/>
      <c r="P196" s="9"/>
      <c r="U196" s="14"/>
      <c r="V196" s="9"/>
    </row>
    <row r="197">
      <c r="B197" s="9"/>
      <c r="H197" s="14"/>
      <c r="J197" s="14"/>
      <c r="N197" s="9"/>
      <c r="P197" s="9"/>
      <c r="U197" s="14"/>
      <c r="V197" s="9"/>
    </row>
    <row r="198">
      <c r="B198" s="9"/>
      <c r="H198" s="14"/>
      <c r="J198" s="14"/>
      <c r="N198" s="9"/>
      <c r="P198" s="9"/>
      <c r="U198" s="14"/>
      <c r="V198" s="9"/>
    </row>
    <row r="199">
      <c r="B199" s="9"/>
      <c r="H199" s="14"/>
      <c r="J199" s="14"/>
      <c r="N199" s="9"/>
      <c r="P199" s="9"/>
      <c r="U199" s="14"/>
      <c r="V199" s="9"/>
    </row>
    <row r="200">
      <c r="B200" s="9"/>
      <c r="H200" s="14"/>
      <c r="J200" s="14"/>
      <c r="N200" s="9"/>
      <c r="P200" s="9"/>
      <c r="U200" s="14"/>
      <c r="V200" s="9"/>
    </row>
    <row r="201">
      <c r="B201" s="9"/>
      <c r="H201" s="14"/>
      <c r="J201" s="14"/>
      <c r="N201" s="9"/>
      <c r="P201" s="9"/>
      <c r="U201" s="14"/>
      <c r="V201" s="9"/>
    </row>
    <row r="202">
      <c r="B202" s="9"/>
      <c r="H202" s="14"/>
      <c r="J202" s="14"/>
      <c r="N202" s="9"/>
      <c r="P202" s="9"/>
      <c r="U202" s="14"/>
      <c r="V202" s="9"/>
    </row>
    <row r="203">
      <c r="B203" s="9"/>
      <c r="H203" s="14"/>
      <c r="J203" s="14"/>
      <c r="N203" s="9"/>
      <c r="P203" s="9"/>
      <c r="U203" s="14"/>
      <c r="V203" s="9"/>
    </row>
    <row r="204">
      <c r="B204" s="9"/>
      <c r="H204" s="14"/>
      <c r="J204" s="14"/>
      <c r="N204" s="9"/>
      <c r="P204" s="9"/>
      <c r="U204" s="14"/>
      <c r="V204" s="9"/>
    </row>
    <row r="205">
      <c r="B205" s="9"/>
      <c r="H205" s="14"/>
      <c r="J205" s="14"/>
      <c r="N205" s="9"/>
      <c r="P205" s="9"/>
      <c r="U205" s="14"/>
      <c r="V205" s="9"/>
    </row>
    <row r="206">
      <c r="B206" s="9"/>
      <c r="H206" s="14"/>
      <c r="J206" s="14"/>
      <c r="N206" s="9"/>
      <c r="P206" s="9"/>
      <c r="U206" s="14"/>
      <c r="V206" s="9"/>
    </row>
    <row r="207">
      <c r="B207" s="9"/>
      <c r="H207" s="14"/>
      <c r="J207" s="14"/>
      <c r="N207" s="9"/>
      <c r="P207" s="9"/>
      <c r="U207" s="14"/>
      <c r="V207" s="9"/>
    </row>
    <row r="208">
      <c r="B208" s="9"/>
      <c r="H208" s="14"/>
      <c r="J208" s="14"/>
      <c r="N208" s="9"/>
      <c r="P208" s="9"/>
      <c r="U208" s="14"/>
      <c r="V208" s="9"/>
    </row>
    <row r="209">
      <c r="B209" s="9"/>
      <c r="H209" s="14"/>
      <c r="J209" s="14"/>
      <c r="N209" s="9"/>
      <c r="P209" s="9"/>
      <c r="U209" s="14"/>
      <c r="V209" s="9"/>
    </row>
    <row r="210">
      <c r="B210" s="9"/>
      <c r="H210" s="14"/>
      <c r="J210" s="14"/>
      <c r="N210" s="9"/>
      <c r="P210" s="9"/>
      <c r="U210" s="14"/>
      <c r="V210" s="9"/>
    </row>
    <row r="211">
      <c r="B211" s="9"/>
      <c r="H211" s="14"/>
      <c r="J211" s="14"/>
      <c r="N211" s="9"/>
      <c r="P211" s="9"/>
      <c r="U211" s="14"/>
      <c r="V211" s="9"/>
    </row>
    <row r="212">
      <c r="B212" s="9"/>
      <c r="H212" s="14"/>
      <c r="J212" s="14"/>
      <c r="N212" s="9"/>
      <c r="P212" s="9"/>
      <c r="U212" s="14"/>
      <c r="V212" s="9"/>
    </row>
    <row r="213">
      <c r="B213" s="9"/>
      <c r="H213" s="14"/>
      <c r="J213" s="14"/>
      <c r="N213" s="9"/>
      <c r="P213" s="9"/>
      <c r="U213" s="14"/>
      <c r="V213" s="9"/>
    </row>
    <row r="214">
      <c r="B214" s="9"/>
      <c r="H214" s="14"/>
      <c r="J214" s="14"/>
      <c r="N214" s="9"/>
      <c r="P214" s="9"/>
      <c r="U214" s="14"/>
      <c r="V214" s="9"/>
    </row>
    <row r="215">
      <c r="B215" s="9"/>
      <c r="H215" s="14"/>
      <c r="J215" s="14"/>
      <c r="N215" s="9"/>
      <c r="P215" s="9"/>
      <c r="U215" s="14"/>
      <c r="V215" s="9"/>
    </row>
    <row r="216">
      <c r="B216" s="9"/>
      <c r="H216" s="14"/>
      <c r="J216" s="14"/>
      <c r="N216" s="9"/>
      <c r="P216" s="9"/>
      <c r="U216" s="14"/>
      <c r="V216" s="9"/>
    </row>
    <row r="217">
      <c r="B217" s="9"/>
      <c r="H217" s="14"/>
      <c r="J217" s="14"/>
      <c r="N217" s="9"/>
      <c r="P217" s="9"/>
      <c r="U217" s="14"/>
      <c r="V217" s="9"/>
    </row>
    <row r="218">
      <c r="B218" s="9"/>
      <c r="H218" s="14"/>
      <c r="J218" s="14"/>
      <c r="N218" s="9"/>
      <c r="P218" s="9"/>
      <c r="U218" s="14"/>
      <c r="V218" s="9"/>
    </row>
    <row r="219">
      <c r="B219" s="9"/>
      <c r="H219" s="14"/>
      <c r="J219" s="14"/>
      <c r="N219" s="9"/>
      <c r="P219" s="9"/>
      <c r="U219" s="14"/>
      <c r="V219" s="9"/>
    </row>
    <row r="220">
      <c r="B220" s="9"/>
      <c r="H220" s="14"/>
      <c r="J220" s="14"/>
      <c r="N220" s="9"/>
      <c r="P220" s="9"/>
      <c r="U220" s="14"/>
      <c r="V220" s="9"/>
    </row>
    <row r="221">
      <c r="B221" s="9"/>
      <c r="H221" s="14"/>
      <c r="J221" s="14"/>
      <c r="N221" s="9"/>
      <c r="P221" s="9"/>
      <c r="U221" s="14"/>
      <c r="V221" s="9"/>
    </row>
    <row r="222">
      <c r="B222" s="9"/>
      <c r="H222" s="14"/>
      <c r="J222" s="14"/>
      <c r="N222" s="9"/>
      <c r="P222" s="9"/>
      <c r="U222" s="14"/>
      <c r="V222" s="9"/>
    </row>
    <row r="223">
      <c r="B223" s="9"/>
      <c r="H223" s="14"/>
      <c r="J223" s="14"/>
      <c r="N223" s="9"/>
      <c r="P223" s="9"/>
      <c r="U223" s="14"/>
      <c r="V223" s="9"/>
    </row>
    <row r="224">
      <c r="B224" s="9"/>
      <c r="H224" s="14"/>
      <c r="J224" s="14"/>
      <c r="N224" s="9"/>
      <c r="P224" s="9"/>
      <c r="U224" s="14"/>
      <c r="V224" s="9"/>
    </row>
    <row r="225">
      <c r="B225" s="9"/>
      <c r="H225" s="14"/>
      <c r="J225" s="14"/>
      <c r="N225" s="9"/>
      <c r="P225" s="9"/>
      <c r="U225" s="14"/>
      <c r="V225" s="9"/>
    </row>
    <row r="226">
      <c r="B226" s="9"/>
      <c r="H226" s="14"/>
      <c r="J226" s="14"/>
      <c r="N226" s="9"/>
      <c r="P226" s="9"/>
      <c r="U226" s="14"/>
      <c r="V226" s="9"/>
    </row>
    <row r="227">
      <c r="B227" s="9"/>
      <c r="H227" s="14"/>
      <c r="J227" s="14"/>
      <c r="N227" s="9"/>
      <c r="P227" s="9"/>
      <c r="U227" s="14"/>
      <c r="V227" s="9"/>
    </row>
    <row r="228">
      <c r="B228" s="9"/>
      <c r="H228" s="14"/>
      <c r="J228" s="14"/>
      <c r="N228" s="9"/>
      <c r="P228" s="9"/>
      <c r="U228" s="14"/>
      <c r="V228" s="9"/>
    </row>
    <row r="229">
      <c r="B229" s="9"/>
      <c r="H229" s="14"/>
      <c r="J229" s="14"/>
      <c r="N229" s="9"/>
      <c r="P229" s="9"/>
      <c r="U229" s="14"/>
      <c r="V229" s="9"/>
    </row>
    <row r="230">
      <c r="B230" s="9"/>
      <c r="H230" s="14"/>
      <c r="J230" s="14"/>
      <c r="N230" s="9"/>
      <c r="P230" s="9"/>
      <c r="U230" s="14"/>
      <c r="V230" s="9"/>
    </row>
    <row r="231">
      <c r="B231" s="9"/>
      <c r="H231" s="14"/>
      <c r="J231" s="14"/>
      <c r="N231" s="9"/>
      <c r="P231" s="9"/>
      <c r="U231" s="14"/>
      <c r="V231" s="9"/>
    </row>
    <row r="232">
      <c r="B232" s="9"/>
      <c r="H232" s="14"/>
      <c r="J232" s="14"/>
      <c r="N232" s="9"/>
      <c r="P232" s="9"/>
      <c r="U232" s="14"/>
      <c r="V232" s="9"/>
    </row>
    <row r="233">
      <c r="B233" s="9"/>
      <c r="H233" s="14"/>
      <c r="J233" s="14"/>
      <c r="N233" s="9"/>
      <c r="P233" s="9"/>
      <c r="U233" s="14"/>
      <c r="V233" s="9"/>
    </row>
    <row r="234">
      <c r="B234" s="9"/>
      <c r="H234" s="14"/>
      <c r="J234" s="14"/>
      <c r="N234" s="9"/>
      <c r="P234" s="9"/>
      <c r="U234" s="14"/>
      <c r="V234" s="9"/>
    </row>
    <row r="235">
      <c r="B235" s="9"/>
      <c r="H235" s="14"/>
      <c r="J235" s="14"/>
      <c r="N235" s="9"/>
      <c r="P235" s="9"/>
      <c r="U235" s="14"/>
      <c r="V235" s="9"/>
    </row>
    <row r="236">
      <c r="B236" s="9"/>
      <c r="H236" s="14"/>
      <c r="J236" s="14"/>
      <c r="N236" s="9"/>
      <c r="P236" s="9"/>
      <c r="U236" s="14"/>
      <c r="V236" s="9"/>
    </row>
    <row r="237">
      <c r="B237" s="9"/>
      <c r="H237" s="14"/>
      <c r="J237" s="14"/>
      <c r="N237" s="9"/>
      <c r="P237" s="9"/>
      <c r="U237" s="14"/>
      <c r="V237" s="9"/>
    </row>
    <row r="238">
      <c r="B238" s="9"/>
      <c r="H238" s="14"/>
      <c r="J238" s="14"/>
      <c r="N238" s="9"/>
      <c r="P238" s="9"/>
      <c r="U238" s="14"/>
      <c r="V238" s="9"/>
    </row>
    <row r="239">
      <c r="B239" s="9"/>
      <c r="H239" s="14"/>
      <c r="J239" s="14"/>
      <c r="N239" s="9"/>
      <c r="P239" s="9"/>
      <c r="U239" s="14"/>
      <c r="V239" s="9"/>
    </row>
    <row r="240">
      <c r="B240" s="9"/>
      <c r="H240" s="14"/>
      <c r="J240" s="14"/>
      <c r="N240" s="9"/>
      <c r="P240" s="9"/>
      <c r="U240" s="14"/>
      <c r="V240" s="9"/>
    </row>
    <row r="241">
      <c r="B241" s="9"/>
      <c r="H241" s="14"/>
      <c r="J241" s="14"/>
      <c r="N241" s="9"/>
      <c r="P241" s="9"/>
      <c r="U241" s="14"/>
      <c r="V241" s="9"/>
    </row>
    <row r="242">
      <c r="B242" s="9"/>
      <c r="H242" s="14"/>
      <c r="J242" s="14"/>
      <c r="N242" s="9"/>
      <c r="P242" s="9"/>
      <c r="U242" s="14"/>
      <c r="V242" s="9"/>
    </row>
    <row r="243">
      <c r="B243" s="9"/>
      <c r="H243" s="14"/>
      <c r="J243" s="14"/>
      <c r="N243" s="9"/>
      <c r="P243" s="9"/>
      <c r="U243" s="14"/>
      <c r="V243" s="9"/>
    </row>
    <row r="244">
      <c r="B244" s="9"/>
      <c r="H244" s="14"/>
      <c r="J244" s="14"/>
      <c r="N244" s="9"/>
      <c r="P244" s="9"/>
      <c r="U244" s="14"/>
      <c r="V244" s="9"/>
    </row>
    <row r="245">
      <c r="B245" s="9"/>
      <c r="H245" s="14"/>
      <c r="J245" s="14"/>
      <c r="N245" s="9"/>
      <c r="P245" s="9"/>
      <c r="U245" s="14"/>
      <c r="V245" s="9"/>
    </row>
    <row r="246">
      <c r="B246" s="9"/>
      <c r="H246" s="14"/>
      <c r="J246" s="14"/>
      <c r="N246" s="9"/>
      <c r="P246" s="9"/>
      <c r="U246" s="14"/>
      <c r="V246" s="9"/>
    </row>
    <row r="247">
      <c r="B247" s="9"/>
      <c r="H247" s="14"/>
      <c r="J247" s="14"/>
      <c r="N247" s="9"/>
      <c r="P247" s="9"/>
      <c r="U247" s="14"/>
      <c r="V247" s="9"/>
    </row>
    <row r="248">
      <c r="B248" s="9"/>
      <c r="H248" s="14"/>
      <c r="J248" s="14"/>
      <c r="N248" s="9"/>
      <c r="P248" s="9"/>
      <c r="U248" s="14"/>
      <c r="V248" s="9"/>
    </row>
    <row r="249">
      <c r="B249" s="9"/>
      <c r="H249" s="14"/>
      <c r="J249" s="14"/>
      <c r="N249" s="9"/>
      <c r="P249" s="9"/>
      <c r="U249" s="14"/>
      <c r="V249" s="9"/>
    </row>
    <row r="250">
      <c r="B250" s="9"/>
      <c r="H250" s="14"/>
      <c r="J250" s="14"/>
      <c r="N250" s="9"/>
      <c r="P250" s="9"/>
      <c r="U250" s="14"/>
      <c r="V250" s="9"/>
    </row>
    <row r="251">
      <c r="B251" s="9"/>
      <c r="H251" s="14"/>
      <c r="J251" s="14"/>
      <c r="N251" s="9"/>
      <c r="P251" s="9"/>
      <c r="U251" s="14"/>
      <c r="V251" s="9"/>
    </row>
    <row r="252">
      <c r="B252" s="9"/>
      <c r="H252" s="14"/>
      <c r="J252" s="14"/>
      <c r="N252" s="9"/>
      <c r="P252" s="9"/>
      <c r="U252" s="14"/>
      <c r="V252" s="9"/>
    </row>
    <row r="253">
      <c r="B253" s="9"/>
      <c r="H253" s="14"/>
      <c r="J253" s="14"/>
      <c r="N253" s="9"/>
      <c r="P253" s="9"/>
      <c r="U253" s="14"/>
      <c r="V253" s="9"/>
    </row>
    <row r="254">
      <c r="B254" s="9"/>
      <c r="H254" s="14"/>
      <c r="J254" s="14"/>
      <c r="N254" s="9"/>
      <c r="P254" s="9"/>
      <c r="U254" s="14"/>
      <c r="V254" s="9"/>
    </row>
    <row r="255">
      <c r="B255" s="9"/>
      <c r="H255" s="14"/>
      <c r="J255" s="14"/>
      <c r="N255" s="9"/>
      <c r="P255" s="9"/>
      <c r="U255" s="14"/>
      <c r="V255" s="9"/>
    </row>
    <row r="256">
      <c r="B256" s="9"/>
      <c r="H256" s="14"/>
      <c r="J256" s="14"/>
      <c r="N256" s="9"/>
      <c r="P256" s="9"/>
      <c r="U256" s="14"/>
      <c r="V256" s="9"/>
    </row>
    <row r="257">
      <c r="B257" s="9"/>
      <c r="H257" s="14"/>
      <c r="J257" s="14"/>
      <c r="N257" s="9"/>
      <c r="P257" s="9"/>
      <c r="U257" s="14"/>
      <c r="V257" s="9"/>
    </row>
    <row r="258">
      <c r="B258" s="9"/>
      <c r="H258" s="14"/>
      <c r="J258" s="14"/>
      <c r="N258" s="9"/>
      <c r="P258" s="9"/>
      <c r="U258" s="14"/>
      <c r="V258" s="9"/>
    </row>
    <row r="259">
      <c r="B259" s="9"/>
      <c r="H259" s="14"/>
      <c r="J259" s="14"/>
      <c r="N259" s="9"/>
      <c r="P259" s="9"/>
      <c r="U259" s="14"/>
      <c r="V259" s="9"/>
    </row>
    <row r="260">
      <c r="B260" s="9"/>
      <c r="H260" s="14"/>
      <c r="J260" s="14"/>
      <c r="N260" s="9"/>
      <c r="P260" s="9"/>
      <c r="U260" s="14"/>
      <c r="V260" s="9"/>
    </row>
    <row r="261">
      <c r="B261" s="9"/>
      <c r="H261" s="14"/>
      <c r="J261" s="14"/>
      <c r="N261" s="9"/>
      <c r="P261" s="9"/>
      <c r="U261" s="14"/>
      <c r="V261" s="9"/>
    </row>
    <row r="262">
      <c r="B262" s="9"/>
      <c r="H262" s="14"/>
      <c r="J262" s="14"/>
      <c r="N262" s="9"/>
      <c r="P262" s="9"/>
      <c r="U262" s="14"/>
      <c r="V262" s="9"/>
    </row>
    <row r="263">
      <c r="B263" s="9"/>
      <c r="H263" s="14"/>
      <c r="J263" s="14"/>
      <c r="N263" s="9"/>
      <c r="P263" s="9"/>
      <c r="U263" s="14"/>
      <c r="V263" s="9"/>
    </row>
    <row r="264">
      <c r="B264" s="9"/>
      <c r="H264" s="14"/>
      <c r="J264" s="14"/>
      <c r="N264" s="9"/>
      <c r="P264" s="9"/>
      <c r="U264" s="14"/>
      <c r="V264" s="9"/>
    </row>
    <row r="265">
      <c r="B265" s="9"/>
      <c r="H265" s="14"/>
      <c r="J265" s="14"/>
      <c r="N265" s="9"/>
      <c r="P265" s="9"/>
      <c r="U265" s="14"/>
      <c r="V265" s="9"/>
    </row>
    <row r="266">
      <c r="B266" s="9"/>
      <c r="H266" s="14"/>
      <c r="J266" s="14"/>
      <c r="N266" s="9"/>
      <c r="P266" s="9"/>
      <c r="U266" s="14"/>
      <c r="V266" s="9"/>
    </row>
    <row r="267">
      <c r="B267" s="9"/>
      <c r="H267" s="14"/>
      <c r="J267" s="14"/>
      <c r="N267" s="9"/>
      <c r="P267" s="9"/>
      <c r="U267" s="14"/>
      <c r="V267" s="9"/>
    </row>
    <row r="268">
      <c r="B268" s="9"/>
      <c r="H268" s="14"/>
      <c r="J268" s="14"/>
      <c r="N268" s="9"/>
      <c r="P268" s="9"/>
      <c r="U268" s="14"/>
      <c r="V268" s="9"/>
    </row>
    <row r="269">
      <c r="B269" s="9"/>
      <c r="H269" s="14"/>
      <c r="J269" s="14"/>
      <c r="N269" s="9"/>
      <c r="P269" s="9"/>
      <c r="U269" s="14"/>
      <c r="V269" s="9"/>
    </row>
    <row r="270">
      <c r="B270" s="9"/>
      <c r="H270" s="14"/>
      <c r="J270" s="14"/>
      <c r="N270" s="9"/>
      <c r="P270" s="9"/>
      <c r="U270" s="14"/>
      <c r="V270" s="9"/>
    </row>
    <row r="271">
      <c r="B271" s="9"/>
      <c r="H271" s="14"/>
      <c r="J271" s="14"/>
      <c r="N271" s="9"/>
      <c r="P271" s="9"/>
      <c r="U271" s="14"/>
      <c r="V271" s="9"/>
    </row>
    <row r="272">
      <c r="B272" s="9"/>
      <c r="H272" s="14"/>
      <c r="J272" s="14"/>
      <c r="N272" s="9"/>
      <c r="P272" s="9"/>
      <c r="U272" s="14"/>
      <c r="V272" s="9"/>
    </row>
    <row r="273">
      <c r="B273" s="9"/>
      <c r="H273" s="14"/>
      <c r="J273" s="14"/>
      <c r="N273" s="9"/>
      <c r="P273" s="9"/>
      <c r="U273" s="14"/>
      <c r="V273" s="9"/>
    </row>
    <row r="274">
      <c r="B274" s="9"/>
      <c r="H274" s="14"/>
      <c r="J274" s="14"/>
      <c r="N274" s="9"/>
      <c r="P274" s="9"/>
      <c r="U274" s="14"/>
      <c r="V274" s="9"/>
    </row>
    <row r="275">
      <c r="B275" s="9"/>
      <c r="H275" s="14"/>
      <c r="J275" s="14"/>
      <c r="N275" s="9"/>
      <c r="P275" s="9"/>
      <c r="U275" s="14"/>
      <c r="V275" s="9"/>
    </row>
    <row r="276">
      <c r="B276" s="9"/>
      <c r="H276" s="14"/>
      <c r="J276" s="14"/>
      <c r="N276" s="9"/>
      <c r="P276" s="9"/>
      <c r="U276" s="14"/>
      <c r="V276" s="9"/>
    </row>
    <row r="277">
      <c r="B277" s="9"/>
      <c r="H277" s="14"/>
      <c r="J277" s="14"/>
      <c r="N277" s="9"/>
      <c r="P277" s="9"/>
      <c r="U277" s="14"/>
      <c r="V277" s="9"/>
    </row>
    <row r="278">
      <c r="B278" s="9"/>
      <c r="H278" s="14"/>
      <c r="J278" s="14"/>
      <c r="N278" s="9"/>
      <c r="P278" s="9"/>
      <c r="U278" s="14"/>
      <c r="V278" s="9"/>
    </row>
    <row r="279">
      <c r="B279" s="9"/>
      <c r="H279" s="14"/>
      <c r="J279" s="14"/>
      <c r="N279" s="9"/>
      <c r="P279" s="9"/>
      <c r="U279" s="14"/>
      <c r="V279" s="9"/>
    </row>
    <row r="280">
      <c r="B280" s="9"/>
      <c r="H280" s="14"/>
      <c r="J280" s="14"/>
      <c r="N280" s="9"/>
      <c r="P280" s="9"/>
      <c r="U280" s="14"/>
      <c r="V280" s="9"/>
    </row>
    <row r="281">
      <c r="B281" s="9"/>
      <c r="H281" s="14"/>
      <c r="J281" s="14"/>
      <c r="N281" s="9"/>
      <c r="P281" s="9"/>
      <c r="U281" s="14"/>
      <c r="V281" s="9"/>
    </row>
    <row r="282">
      <c r="B282" s="9"/>
      <c r="H282" s="14"/>
      <c r="J282" s="14"/>
      <c r="N282" s="9"/>
      <c r="P282" s="9"/>
      <c r="U282" s="14"/>
      <c r="V282" s="9"/>
    </row>
    <row r="283">
      <c r="B283" s="9"/>
      <c r="H283" s="14"/>
      <c r="J283" s="14"/>
      <c r="N283" s="9"/>
      <c r="P283" s="9"/>
      <c r="U283" s="14"/>
      <c r="V283" s="9"/>
    </row>
    <row r="284">
      <c r="B284" s="9"/>
      <c r="H284" s="14"/>
      <c r="J284" s="14"/>
      <c r="N284" s="9"/>
      <c r="P284" s="9"/>
      <c r="U284" s="14"/>
      <c r="V284" s="9"/>
    </row>
    <row r="285">
      <c r="B285" s="9"/>
      <c r="H285" s="14"/>
      <c r="J285" s="14"/>
      <c r="N285" s="9"/>
      <c r="P285" s="9"/>
      <c r="U285" s="14"/>
      <c r="V285" s="9"/>
    </row>
    <row r="286">
      <c r="B286" s="9"/>
      <c r="H286" s="14"/>
      <c r="J286" s="14"/>
      <c r="N286" s="9"/>
      <c r="P286" s="9"/>
      <c r="U286" s="14"/>
      <c r="V286" s="9"/>
    </row>
    <row r="287">
      <c r="B287" s="9"/>
      <c r="H287" s="14"/>
      <c r="J287" s="14"/>
      <c r="N287" s="9"/>
      <c r="P287" s="9"/>
      <c r="U287" s="14"/>
      <c r="V287" s="9"/>
    </row>
    <row r="288">
      <c r="B288" s="9"/>
      <c r="H288" s="14"/>
      <c r="J288" s="14"/>
      <c r="N288" s="9"/>
      <c r="P288" s="9"/>
      <c r="U288" s="14"/>
      <c r="V288" s="9"/>
    </row>
    <row r="289">
      <c r="B289" s="9"/>
      <c r="H289" s="14"/>
      <c r="J289" s="14"/>
      <c r="N289" s="9"/>
      <c r="P289" s="9"/>
      <c r="U289" s="14"/>
      <c r="V289" s="9"/>
    </row>
    <row r="290">
      <c r="B290" s="9"/>
      <c r="H290" s="14"/>
      <c r="J290" s="14"/>
      <c r="N290" s="9"/>
      <c r="P290" s="9"/>
      <c r="U290" s="14"/>
      <c r="V290" s="9"/>
    </row>
    <row r="291">
      <c r="B291" s="9"/>
      <c r="H291" s="14"/>
      <c r="J291" s="14"/>
      <c r="N291" s="9"/>
      <c r="P291" s="9"/>
      <c r="U291" s="14"/>
      <c r="V291" s="9"/>
    </row>
    <row r="292">
      <c r="B292" s="9"/>
      <c r="H292" s="14"/>
      <c r="J292" s="14"/>
      <c r="N292" s="9"/>
      <c r="P292" s="9"/>
      <c r="U292" s="14"/>
      <c r="V292" s="9"/>
    </row>
    <row r="293">
      <c r="B293" s="9"/>
      <c r="H293" s="14"/>
      <c r="J293" s="14"/>
      <c r="N293" s="9"/>
      <c r="P293" s="9"/>
      <c r="U293" s="14"/>
      <c r="V293" s="9"/>
    </row>
    <row r="294">
      <c r="B294" s="9"/>
      <c r="H294" s="14"/>
      <c r="J294" s="14"/>
      <c r="N294" s="9"/>
      <c r="P294" s="9"/>
      <c r="U294" s="14"/>
      <c r="V294" s="9"/>
    </row>
    <row r="295">
      <c r="B295" s="9"/>
      <c r="H295" s="14"/>
      <c r="J295" s="14"/>
      <c r="N295" s="9"/>
      <c r="P295" s="9"/>
      <c r="U295" s="14"/>
      <c r="V295" s="9"/>
    </row>
    <row r="296">
      <c r="B296" s="9"/>
      <c r="H296" s="14"/>
      <c r="J296" s="14"/>
      <c r="N296" s="9"/>
      <c r="P296" s="9"/>
      <c r="U296" s="14"/>
      <c r="V296" s="9"/>
    </row>
    <row r="297">
      <c r="B297" s="9"/>
      <c r="H297" s="14"/>
      <c r="J297" s="14"/>
      <c r="N297" s="9"/>
      <c r="P297" s="9"/>
      <c r="U297" s="14"/>
      <c r="V297" s="9"/>
    </row>
    <row r="298">
      <c r="B298" s="9"/>
      <c r="H298" s="14"/>
      <c r="J298" s="14"/>
      <c r="N298" s="9"/>
      <c r="P298" s="9"/>
      <c r="U298" s="14"/>
      <c r="V298" s="9"/>
    </row>
    <row r="299">
      <c r="B299" s="9"/>
      <c r="H299" s="14"/>
      <c r="J299" s="14"/>
      <c r="N299" s="9"/>
      <c r="P299" s="9"/>
      <c r="U299" s="14"/>
      <c r="V299" s="9"/>
    </row>
    <row r="300">
      <c r="B300" s="9"/>
      <c r="H300" s="14"/>
      <c r="J300" s="14"/>
      <c r="N300" s="9"/>
      <c r="P300" s="9"/>
      <c r="U300" s="14"/>
      <c r="V300" s="9"/>
    </row>
    <row r="301">
      <c r="B301" s="9"/>
      <c r="H301" s="14"/>
      <c r="J301" s="14"/>
      <c r="N301" s="9"/>
      <c r="P301" s="9"/>
      <c r="U301" s="14"/>
      <c r="V301" s="9"/>
    </row>
    <row r="302">
      <c r="B302" s="9"/>
      <c r="H302" s="14"/>
      <c r="J302" s="14"/>
      <c r="N302" s="9"/>
      <c r="P302" s="9"/>
      <c r="U302" s="14"/>
      <c r="V302" s="9"/>
    </row>
    <row r="303">
      <c r="B303" s="9"/>
      <c r="H303" s="14"/>
      <c r="J303" s="14"/>
      <c r="N303" s="9"/>
      <c r="P303" s="9"/>
      <c r="U303" s="14"/>
      <c r="V303" s="9"/>
    </row>
    <row r="304">
      <c r="B304" s="9"/>
      <c r="H304" s="14"/>
      <c r="J304" s="14"/>
      <c r="N304" s="9"/>
      <c r="P304" s="9"/>
      <c r="U304" s="14"/>
      <c r="V304" s="9"/>
    </row>
    <row r="305">
      <c r="B305" s="9"/>
      <c r="H305" s="14"/>
      <c r="J305" s="14"/>
      <c r="N305" s="9"/>
      <c r="P305" s="9"/>
      <c r="U305" s="14"/>
      <c r="V305" s="9"/>
    </row>
    <row r="306">
      <c r="B306" s="9"/>
      <c r="H306" s="14"/>
      <c r="J306" s="14"/>
      <c r="N306" s="9"/>
      <c r="P306" s="9"/>
      <c r="U306" s="14"/>
      <c r="V306" s="9"/>
    </row>
    <row r="307">
      <c r="B307" s="9"/>
      <c r="H307" s="14"/>
      <c r="J307" s="14"/>
      <c r="N307" s="9"/>
      <c r="P307" s="9"/>
      <c r="U307" s="14"/>
      <c r="V307" s="9"/>
    </row>
    <row r="308">
      <c r="B308" s="9"/>
      <c r="H308" s="14"/>
      <c r="J308" s="14"/>
      <c r="N308" s="9"/>
      <c r="P308" s="9"/>
      <c r="U308" s="14"/>
      <c r="V308" s="9"/>
    </row>
    <row r="309">
      <c r="B309" s="9"/>
      <c r="H309" s="14"/>
      <c r="J309" s="14"/>
      <c r="N309" s="9"/>
      <c r="P309" s="9"/>
      <c r="U309" s="14"/>
      <c r="V309" s="9"/>
    </row>
    <row r="310">
      <c r="B310" s="9"/>
      <c r="H310" s="14"/>
      <c r="J310" s="14"/>
      <c r="N310" s="9"/>
      <c r="P310" s="9"/>
      <c r="U310" s="14"/>
      <c r="V310" s="9"/>
    </row>
    <row r="311">
      <c r="B311" s="9"/>
      <c r="H311" s="14"/>
      <c r="J311" s="14"/>
      <c r="N311" s="9"/>
      <c r="P311" s="9"/>
      <c r="U311" s="14"/>
      <c r="V311" s="9"/>
    </row>
    <row r="312">
      <c r="B312" s="9"/>
      <c r="H312" s="14"/>
      <c r="J312" s="14"/>
      <c r="N312" s="9"/>
      <c r="P312" s="9"/>
      <c r="U312" s="14"/>
      <c r="V312" s="9"/>
    </row>
    <row r="313">
      <c r="B313" s="9"/>
      <c r="H313" s="14"/>
      <c r="J313" s="14"/>
      <c r="N313" s="9"/>
      <c r="P313" s="9"/>
      <c r="U313" s="14"/>
      <c r="V313" s="9"/>
    </row>
    <row r="314">
      <c r="B314" s="9"/>
      <c r="H314" s="14"/>
      <c r="J314" s="14"/>
      <c r="N314" s="9"/>
      <c r="P314" s="9"/>
      <c r="U314" s="14"/>
      <c r="V314" s="9"/>
    </row>
    <row r="315">
      <c r="B315" s="9"/>
      <c r="H315" s="14"/>
      <c r="J315" s="14"/>
      <c r="N315" s="9"/>
      <c r="P315" s="9"/>
      <c r="U315" s="14"/>
      <c r="V315" s="9"/>
    </row>
    <row r="316">
      <c r="B316" s="9"/>
      <c r="H316" s="14"/>
      <c r="J316" s="14"/>
      <c r="N316" s="9"/>
      <c r="P316" s="9"/>
      <c r="U316" s="14"/>
      <c r="V316" s="9"/>
    </row>
    <row r="317">
      <c r="B317" s="9"/>
      <c r="H317" s="14"/>
      <c r="J317" s="14"/>
      <c r="N317" s="9"/>
      <c r="P317" s="9"/>
      <c r="U317" s="14"/>
      <c r="V317" s="9"/>
    </row>
    <row r="318">
      <c r="B318" s="9"/>
      <c r="H318" s="14"/>
      <c r="J318" s="14"/>
      <c r="N318" s="9"/>
      <c r="P318" s="9"/>
      <c r="U318" s="14"/>
      <c r="V318" s="9"/>
    </row>
    <row r="319">
      <c r="B319" s="9"/>
      <c r="H319" s="14"/>
      <c r="J319" s="14"/>
      <c r="N319" s="9"/>
      <c r="P319" s="9"/>
      <c r="U319" s="14"/>
      <c r="V319" s="9"/>
    </row>
    <row r="320">
      <c r="B320" s="9"/>
      <c r="H320" s="14"/>
      <c r="J320" s="14"/>
      <c r="N320" s="9"/>
      <c r="P320" s="9"/>
      <c r="U320" s="14"/>
      <c r="V320" s="9"/>
    </row>
    <row r="321">
      <c r="B321" s="9"/>
      <c r="H321" s="14"/>
      <c r="J321" s="14"/>
      <c r="N321" s="9"/>
      <c r="P321" s="9"/>
      <c r="U321" s="14"/>
      <c r="V321" s="9"/>
    </row>
    <row r="322">
      <c r="B322" s="9"/>
      <c r="H322" s="14"/>
      <c r="J322" s="14"/>
      <c r="N322" s="9"/>
      <c r="P322" s="9"/>
      <c r="U322" s="14"/>
      <c r="V322" s="9"/>
    </row>
    <row r="323">
      <c r="B323" s="9"/>
      <c r="H323" s="14"/>
      <c r="J323" s="14"/>
      <c r="N323" s="9"/>
      <c r="P323" s="9"/>
      <c r="U323" s="14"/>
      <c r="V323" s="9"/>
    </row>
    <row r="324">
      <c r="B324" s="9"/>
      <c r="H324" s="14"/>
      <c r="J324" s="14"/>
      <c r="N324" s="9"/>
      <c r="P324" s="9"/>
      <c r="U324" s="14"/>
      <c r="V324" s="9"/>
    </row>
    <row r="325">
      <c r="B325" s="9"/>
      <c r="H325" s="14"/>
      <c r="J325" s="14"/>
      <c r="N325" s="9"/>
      <c r="P325" s="9"/>
      <c r="U325" s="14"/>
      <c r="V325" s="9"/>
    </row>
    <row r="326">
      <c r="B326" s="9"/>
      <c r="H326" s="14"/>
      <c r="J326" s="14"/>
      <c r="N326" s="9"/>
      <c r="P326" s="9"/>
      <c r="U326" s="14"/>
      <c r="V326" s="9"/>
    </row>
    <row r="327">
      <c r="B327" s="9"/>
      <c r="H327" s="14"/>
      <c r="J327" s="14"/>
      <c r="N327" s="9"/>
      <c r="P327" s="9"/>
      <c r="U327" s="14"/>
      <c r="V327" s="9"/>
    </row>
    <row r="328">
      <c r="B328" s="9"/>
      <c r="H328" s="14"/>
      <c r="J328" s="14"/>
      <c r="N328" s="9"/>
      <c r="P328" s="9"/>
      <c r="U328" s="14"/>
      <c r="V328" s="9"/>
    </row>
    <row r="329">
      <c r="B329" s="9"/>
      <c r="H329" s="14"/>
      <c r="J329" s="14"/>
      <c r="N329" s="9"/>
      <c r="P329" s="9"/>
      <c r="U329" s="14"/>
      <c r="V329" s="9"/>
    </row>
    <row r="330">
      <c r="B330" s="9"/>
      <c r="H330" s="14"/>
      <c r="J330" s="14"/>
      <c r="N330" s="9"/>
      <c r="P330" s="9"/>
      <c r="U330" s="14"/>
      <c r="V330" s="9"/>
    </row>
    <row r="331">
      <c r="B331" s="9"/>
      <c r="H331" s="14"/>
      <c r="J331" s="14"/>
      <c r="N331" s="9"/>
      <c r="P331" s="9"/>
      <c r="U331" s="14"/>
      <c r="V331" s="9"/>
    </row>
    <row r="332">
      <c r="B332" s="9"/>
      <c r="H332" s="14"/>
      <c r="J332" s="14"/>
      <c r="N332" s="9"/>
      <c r="P332" s="9"/>
      <c r="U332" s="14"/>
      <c r="V332" s="9"/>
    </row>
    <row r="333">
      <c r="B333" s="9"/>
      <c r="H333" s="14"/>
      <c r="J333" s="14"/>
      <c r="N333" s="9"/>
      <c r="P333" s="9"/>
      <c r="U333" s="14"/>
      <c r="V333" s="9"/>
    </row>
    <row r="334">
      <c r="B334" s="9"/>
      <c r="H334" s="14"/>
      <c r="J334" s="14"/>
      <c r="N334" s="9"/>
      <c r="P334" s="9"/>
      <c r="U334" s="14"/>
      <c r="V334" s="9"/>
    </row>
    <row r="335">
      <c r="B335" s="9"/>
      <c r="H335" s="14"/>
      <c r="J335" s="14"/>
      <c r="N335" s="9"/>
      <c r="P335" s="9"/>
      <c r="U335" s="14"/>
      <c r="V335" s="9"/>
    </row>
    <row r="336">
      <c r="B336" s="9"/>
      <c r="H336" s="14"/>
      <c r="J336" s="14"/>
      <c r="N336" s="9"/>
      <c r="P336" s="9"/>
      <c r="U336" s="14"/>
      <c r="V336" s="9"/>
    </row>
    <row r="337">
      <c r="B337" s="9"/>
      <c r="H337" s="14"/>
      <c r="J337" s="14"/>
      <c r="N337" s="9"/>
      <c r="P337" s="9"/>
      <c r="U337" s="14"/>
      <c r="V337" s="9"/>
    </row>
    <row r="338">
      <c r="B338" s="9"/>
      <c r="H338" s="14"/>
      <c r="J338" s="14"/>
      <c r="N338" s="9"/>
      <c r="P338" s="9"/>
      <c r="U338" s="14"/>
      <c r="V338" s="9"/>
    </row>
    <row r="339">
      <c r="B339" s="9"/>
      <c r="H339" s="14"/>
      <c r="J339" s="14"/>
      <c r="N339" s="9"/>
      <c r="P339" s="9"/>
      <c r="U339" s="14"/>
      <c r="V339" s="9"/>
    </row>
    <row r="340">
      <c r="B340" s="9"/>
      <c r="H340" s="14"/>
      <c r="J340" s="14"/>
      <c r="N340" s="9"/>
      <c r="P340" s="9"/>
      <c r="U340" s="14"/>
      <c r="V340" s="9"/>
    </row>
    <row r="341">
      <c r="B341" s="9"/>
      <c r="H341" s="14"/>
      <c r="J341" s="14"/>
      <c r="N341" s="9"/>
      <c r="P341" s="9"/>
      <c r="U341" s="14"/>
      <c r="V341" s="9"/>
    </row>
    <row r="342">
      <c r="B342" s="9"/>
      <c r="H342" s="14"/>
      <c r="J342" s="14"/>
      <c r="N342" s="9"/>
      <c r="P342" s="9"/>
      <c r="U342" s="14"/>
      <c r="V342" s="9"/>
    </row>
    <row r="343">
      <c r="B343" s="9"/>
      <c r="H343" s="14"/>
      <c r="J343" s="14"/>
      <c r="N343" s="9"/>
      <c r="P343" s="9"/>
      <c r="U343" s="14"/>
      <c r="V343" s="9"/>
    </row>
    <row r="344">
      <c r="B344" s="9"/>
      <c r="H344" s="14"/>
      <c r="J344" s="14"/>
      <c r="N344" s="9"/>
      <c r="P344" s="9"/>
      <c r="U344" s="14"/>
      <c r="V344" s="9"/>
    </row>
    <row r="345">
      <c r="B345" s="9"/>
      <c r="H345" s="14"/>
      <c r="J345" s="14"/>
      <c r="N345" s="9"/>
      <c r="P345" s="9"/>
      <c r="U345" s="14"/>
      <c r="V345" s="9"/>
    </row>
    <row r="346">
      <c r="B346" s="9"/>
      <c r="H346" s="14"/>
      <c r="J346" s="14"/>
      <c r="N346" s="9"/>
      <c r="P346" s="9"/>
      <c r="U346" s="14"/>
      <c r="V346" s="9"/>
    </row>
    <row r="347">
      <c r="B347" s="9"/>
      <c r="H347" s="14"/>
      <c r="J347" s="14"/>
      <c r="N347" s="9"/>
      <c r="P347" s="9"/>
      <c r="U347" s="14"/>
      <c r="V347" s="9"/>
    </row>
    <row r="348">
      <c r="B348" s="9"/>
      <c r="H348" s="14"/>
      <c r="J348" s="14"/>
      <c r="N348" s="9"/>
      <c r="P348" s="9"/>
      <c r="U348" s="14"/>
      <c r="V348" s="9"/>
    </row>
    <row r="349">
      <c r="B349" s="9"/>
      <c r="H349" s="14"/>
      <c r="J349" s="14"/>
      <c r="N349" s="9"/>
      <c r="P349" s="9"/>
      <c r="U349" s="14"/>
      <c r="V349" s="9"/>
    </row>
    <row r="350">
      <c r="B350" s="9"/>
      <c r="H350" s="14"/>
      <c r="J350" s="14"/>
      <c r="N350" s="9"/>
      <c r="P350" s="9"/>
      <c r="U350" s="14"/>
      <c r="V350" s="9"/>
    </row>
    <row r="351">
      <c r="B351" s="9"/>
      <c r="H351" s="14"/>
      <c r="J351" s="14"/>
      <c r="N351" s="9"/>
      <c r="P351" s="9"/>
      <c r="U351" s="14"/>
      <c r="V351" s="9"/>
    </row>
    <row r="352">
      <c r="B352" s="9"/>
      <c r="H352" s="14"/>
      <c r="J352" s="14"/>
      <c r="N352" s="9"/>
      <c r="P352" s="9"/>
      <c r="U352" s="14"/>
      <c r="V352" s="9"/>
    </row>
    <row r="353">
      <c r="B353" s="9"/>
      <c r="H353" s="14"/>
      <c r="J353" s="14"/>
      <c r="N353" s="9"/>
      <c r="P353" s="9"/>
      <c r="U353" s="14"/>
      <c r="V353" s="9"/>
    </row>
    <row r="354">
      <c r="B354" s="9"/>
      <c r="H354" s="14"/>
      <c r="J354" s="14"/>
      <c r="N354" s="9"/>
      <c r="P354" s="9"/>
      <c r="U354" s="14"/>
      <c r="V354" s="9"/>
    </row>
    <row r="355">
      <c r="B355" s="9"/>
      <c r="H355" s="14"/>
      <c r="J355" s="14"/>
      <c r="N355" s="9"/>
      <c r="P355" s="9"/>
      <c r="U355" s="14"/>
      <c r="V355" s="9"/>
    </row>
    <row r="356">
      <c r="B356" s="9"/>
      <c r="H356" s="14"/>
      <c r="J356" s="14"/>
      <c r="N356" s="9"/>
      <c r="P356" s="9"/>
      <c r="U356" s="14"/>
      <c r="V356" s="9"/>
    </row>
    <row r="357">
      <c r="B357" s="9"/>
      <c r="H357" s="14"/>
      <c r="J357" s="14"/>
      <c r="N357" s="9"/>
      <c r="P357" s="9"/>
      <c r="U357" s="14"/>
      <c r="V357" s="9"/>
    </row>
    <row r="358">
      <c r="B358" s="9"/>
      <c r="H358" s="14"/>
      <c r="J358" s="14"/>
      <c r="N358" s="9"/>
      <c r="P358" s="9"/>
      <c r="U358" s="14"/>
      <c r="V358" s="9"/>
    </row>
    <row r="359">
      <c r="B359" s="9"/>
      <c r="H359" s="14"/>
      <c r="J359" s="14"/>
      <c r="N359" s="9"/>
      <c r="P359" s="9"/>
      <c r="U359" s="14"/>
      <c r="V359" s="9"/>
    </row>
    <row r="360">
      <c r="B360" s="9"/>
      <c r="H360" s="14"/>
      <c r="J360" s="14"/>
      <c r="N360" s="9"/>
      <c r="P360" s="9"/>
      <c r="U360" s="14"/>
      <c r="V360" s="9"/>
    </row>
    <row r="361">
      <c r="B361" s="9"/>
      <c r="H361" s="14"/>
      <c r="J361" s="14"/>
      <c r="N361" s="9"/>
      <c r="P361" s="9"/>
      <c r="U361" s="14"/>
      <c r="V361" s="9"/>
    </row>
    <row r="362">
      <c r="B362" s="9"/>
      <c r="H362" s="14"/>
      <c r="J362" s="14"/>
      <c r="N362" s="9"/>
      <c r="P362" s="9"/>
      <c r="U362" s="14"/>
      <c r="V362" s="9"/>
    </row>
    <row r="363">
      <c r="B363" s="9"/>
      <c r="H363" s="14"/>
      <c r="J363" s="14"/>
      <c r="N363" s="9"/>
      <c r="P363" s="9"/>
      <c r="U363" s="14"/>
      <c r="V363" s="9"/>
    </row>
    <row r="364">
      <c r="B364" s="9"/>
      <c r="H364" s="14"/>
      <c r="J364" s="14"/>
      <c r="N364" s="9"/>
      <c r="P364" s="9"/>
      <c r="U364" s="14"/>
      <c r="V364" s="9"/>
    </row>
    <row r="365">
      <c r="B365" s="9"/>
      <c r="H365" s="14"/>
      <c r="J365" s="14"/>
      <c r="N365" s="9"/>
      <c r="P365" s="9"/>
      <c r="U365" s="14"/>
      <c r="V365" s="9"/>
    </row>
    <row r="366">
      <c r="B366" s="9"/>
      <c r="H366" s="14"/>
      <c r="J366" s="14"/>
      <c r="N366" s="9"/>
      <c r="P366" s="9"/>
      <c r="U366" s="14"/>
      <c r="V366" s="9"/>
    </row>
    <row r="367">
      <c r="B367" s="9"/>
      <c r="H367" s="14"/>
      <c r="J367" s="14"/>
      <c r="N367" s="9"/>
      <c r="P367" s="9"/>
      <c r="U367" s="14"/>
      <c r="V367" s="9"/>
    </row>
    <row r="368">
      <c r="B368" s="9"/>
      <c r="H368" s="14"/>
      <c r="J368" s="14"/>
      <c r="N368" s="9"/>
      <c r="P368" s="9"/>
      <c r="U368" s="14"/>
      <c r="V368" s="9"/>
    </row>
    <row r="369">
      <c r="B369" s="9"/>
      <c r="H369" s="14"/>
      <c r="J369" s="14"/>
      <c r="N369" s="9"/>
      <c r="P369" s="9"/>
      <c r="U369" s="14"/>
      <c r="V369" s="9"/>
    </row>
    <row r="370">
      <c r="B370" s="9"/>
      <c r="H370" s="14"/>
      <c r="J370" s="14"/>
      <c r="N370" s="9"/>
      <c r="P370" s="9"/>
      <c r="U370" s="14"/>
      <c r="V370" s="9"/>
    </row>
    <row r="371">
      <c r="B371" s="9"/>
      <c r="H371" s="14"/>
      <c r="J371" s="14"/>
      <c r="N371" s="9"/>
      <c r="P371" s="9"/>
      <c r="U371" s="14"/>
      <c r="V371" s="9"/>
    </row>
    <row r="372">
      <c r="B372" s="9"/>
      <c r="H372" s="14"/>
      <c r="J372" s="14"/>
      <c r="N372" s="9"/>
      <c r="P372" s="9"/>
      <c r="U372" s="14"/>
      <c r="V372" s="9"/>
    </row>
    <row r="373">
      <c r="B373" s="9"/>
      <c r="H373" s="14"/>
      <c r="J373" s="14"/>
      <c r="N373" s="9"/>
      <c r="P373" s="9"/>
      <c r="U373" s="14"/>
      <c r="V373" s="9"/>
    </row>
    <row r="374">
      <c r="B374" s="9"/>
      <c r="H374" s="14"/>
      <c r="J374" s="14"/>
      <c r="N374" s="9"/>
      <c r="P374" s="9"/>
      <c r="U374" s="14"/>
      <c r="V374" s="9"/>
    </row>
    <row r="375">
      <c r="B375" s="9"/>
      <c r="H375" s="14"/>
      <c r="J375" s="14"/>
      <c r="N375" s="9"/>
      <c r="P375" s="9"/>
      <c r="U375" s="14"/>
      <c r="V375" s="9"/>
    </row>
    <row r="376">
      <c r="B376" s="9"/>
      <c r="H376" s="14"/>
      <c r="J376" s="14"/>
      <c r="N376" s="9"/>
      <c r="P376" s="9"/>
      <c r="U376" s="14"/>
      <c r="V376" s="9"/>
    </row>
    <row r="377">
      <c r="B377" s="9"/>
      <c r="H377" s="14"/>
      <c r="J377" s="14"/>
      <c r="N377" s="9"/>
      <c r="P377" s="9"/>
      <c r="U377" s="14"/>
      <c r="V377" s="9"/>
    </row>
    <row r="378">
      <c r="B378" s="9"/>
      <c r="H378" s="14"/>
      <c r="J378" s="14"/>
      <c r="N378" s="9"/>
      <c r="P378" s="9"/>
      <c r="U378" s="14"/>
      <c r="V378" s="9"/>
    </row>
    <row r="379">
      <c r="B379" s="9"/>
      <c r="H379" s="14"/>
      <c r="J379" s="14"/>
      <c r="N379" s="9"/>
      <c r="P379" s="9"/>
      <c r="U379" s="14"/>
      <c r="V379" s="9"/>
    </row>
    <row r="380">
      <c r="B380" s="9"/>
      <c r="H380" s="14"/>
      <c r="J380" s="14"/>
      <c r="N380" s="9"/>
      <c r="P380" s="9"/>
      <c r="U380" s="14"/>
      <c r="V380" s="9"/>
    </row>
    <row r="381">
      <c r="B381" s="9"/>
      <c r="H381" s="14"/>
      <c r="J381" s="14"/>
      <c r="N381" s="9"/>
      <c r="P381" s="9"/>
      <c r="U381" s="14"/>
      <c r="V381" s="9"/>
    </row>
    <row r="382">
      <c r="B382" s="9"/>
      <c r="H382" s="14"/>
      <c r="J382" s="14"/>
      <c r="N382" s="9"/>
      <c r="P382" s="9"/>
      <c r="U382" s="14"/>
      <c r="V382" s="9"/>
    </row>
    <row r="383">
      <c r="B383" s="9"/>
      <c r="H383" s="14"/>
      <c r="J383" s="14"/>
      <c r="N383" s="9"/>
      <c r="P383" s="9"/>
      <c r="U383" s="14"/>
      <c r="V383" s="9"/>
    </row>
    <row r="384">
      <c r="B384" s="9"/>
      <c r="H384" s="14"/>
      <c r="J384" s="14"/>
      <c r="N384" s="9"/>
      <c r="P384" s="9"/>
      <c r="U384" s="14"/>
      <c r="V384" s="9"/>
    </row>
    <row r="385">
      <c r="B385" s="9"/>
      <c r="H385" s="14"/>
      <c r="J385" s="14"/>
      <c r="N385" s="9"/>
      <c r="P385" s="9"/>
      <c r="U385" s="14"/>
      <c r="V385" s="9"/>
    </row>
    <row r="386">
      <c r="B386" s="9"/>
      <c r="H386" s="14"/>
      <c r="J386" s="14"/>
      <c r="N386" s="9"/>
      <c r="P386" s="9"/>
      <c r="U386" s="14"/>
      <c r="V386" s="9"/>
    </row>
    <row r="387">
      <c r="B387" s="9"/>
      <c r="H387" s="14"/>
      <c r="J387" s="14"/>
      <c r="N387" s="9"/>
      <c r="P387" s="9"/>
      <c r="U387" s="14"/>
      <c r="V387" s="9"/>
    </row>
    <row r="388">
      <c r="B388" s="9"/>
      <c r="H388" s="14"/>
      <c r="J388" s="14"/>
      <c r="N388" s="9"/>
      <c r="P388" s="9"/>
      <c r="U388" s="14"/>
      <c r="V388" s="9"/>
    </row>
    <row r="389">
      <c r="B389" s="9"/>
      <c r="H389" s="14"/>
      <c r="J389" s="14"/>
      <c r="N389" s="9"/>
      <c r="P389" s="9"/>
      <c r="U389" s="14"/>
      <c r="V389" s="9"/>
    </row>
    <row r="390">
      <c r="B390" s="9"/>
      <c r="H390" s="14"/>
      <c r="J390" s="14"/>
      <c r="N390" s="9"/>
      <c r="P390" s="9"/>
      <c r="U390" s="14"/>
      <c r="V390" s="9"/>
    </row>
    <row r="391">
      <c r="B391" s="9"/>
      <c r="H391" s="14"/>
      <c r="J391" s="14"/>
      <c r="N391" s="9"/>
      <c r="P391" s="9"/>
      <c r="U391" s="14"/>
      <c r="V391" s="9"/>
    </row>
    <row r="392">
      <c r="B392" s="9"/>
      <c r="H392" s="14"/>
      <c r="J392" s="14"/>
      <c r="N392" s="9"/>
      <c r="P392" s="9"/>
      <c r="U392" s="14"/>
      <c r="V392" s="9"/>
    </row>
    <row r="393">
      <c r="B393" s="9"/>
      <c r="H393" s="14"/>
      <c r="J393" s="14"/>
      <c r="N393" s="9"/>
      <c r="P393" s="9"/>
      <c r="U393" s="14"/>
      <c r="V393" s="9"/>
    </row>
    <row r="394">
      <c r="B394" s="9"/>
      <c r="H394" s="14"/>
      <c r="J394" s="14"/>
      <c r="N394" s="9"/>
      <c r="P394" s="9"/>
      <c r="U394" s="14"/>
      <c r="V394" s="9"/>
    </row>
    <row r="395">
      <c r="B395" s="9"/>
      <c r="H395" s="14"/>
      <c r="J395" s="14"/>
      <c r="N395" s="9"/>
      <c r="P395" s="9"/>
      <c r="U395" s="14"/>
      <c r="V395" s="9"/>
    </row>
    <row r="396">
      <c r="B396" s="9"/>
      <c r="H396" s="14"/>
      <c r="J396" s="14"/>
      <c r="N396" s="9"/>
      <c r="P396" s="9"/>
      <c r="U396" s="14"/>
      <c r="V396" s="9"/>
    </row>
    <row r="397">
      <c r="B397" s="9"/>
      <c r="H397" s="14"/>
      <c r="J397" s="14"/>
      <c r="N397" s="9"/>
      <c r="P397" s="9"/>
      <c r="U397" s="14"/>
      <c r="V397" s="9"/>
    </row>
    <row r="398">
      <c r="B398" s="9"/>
      <c r="H398" s="14"/>
      <c r="J398" s="14"/>
      <c r="N398" s="9"/>
      <c r="P398" s="9"/>
      <c r="U398" s="14"/>
      <c r="V398" s="9"/>
    </row>
    <row r="399">
      <c r="B399" s="9"/>
      <c r="H399" s="14"/>
      <c r="J399" s="14"/>
      <c r="N399" s="9"/>
      <c r="P399" s="9"/>
      <c r="U399" s="14"/>
      <c r="V399" s="9"/>
    </row>
    <row r="400">
      <c r="B400" s="9"/>
      <c r="H400" s="14"/>
      <c r="J400" s="14"/>
      <c r="N400" s="9"/>
      <c r="P400" s="9"/>
      <c r="U400" s="14"/>
      <c r="V400" s="9"/>
    </row>
    <row r="401">
      <c r="B401" s="9"/>
      <c r="H401" s="14"/>
      <c r="J401" s="14"/>
      <c r="N401" s="9"/>
      <c r="P401" s="9"/>
      <c r="U401" s="14"/>
      <c r="V401" s="9"/>
    </row>
    <row r="402">
      <c r="B402" s="9"/>
      <c r="H402" s="14"/>
      <c r="J402" s="14"/>
      <c r="N402" s="9"/>
      <c r="P402" s="9"/>
      <c r="U402" s="14"/>
      <c r="V402" s="9"/>
    </row>
    <row r="403">
      <c r="B403" s="9"/>
      <c r="H403" s="14"/>
      <c r="J403" s="14"/>
      <c r="N403" s="9"/>
      <c r="P403" s="9"/>
      <c r="U403" s="14"/>
      <c r="V403" s="9"/>
    </row>
    <row r="404">
      <c r="B404" s="9"/>
      <c r="H404" s="14"/>
      <c r="J404" s="14"/>
      <c r="N404" s="9"/>
      <c r="P404" s="9"/>
      <c r="U404" s="14"/>
      <c r="V404" s="9"/>
    </row>
    <row r="405">
      <c r="B405" s="9"/>
      <c r="H405" s="14"/>
      <c r="J405" s="14"/>
      <c r="N405" s="9"/>
      <c r="P405" s="9"/>
      <c r="U405" s="14"/>
      <c r="V405" s="9"/>
    </row>
    <row r="406">
      <c r="B406" s="9"/>
      <c r="H406" s="14"/>
      <c r="J406" s="14"/>
      <c r="N406" s="9"/>
      <c r="P406" s="9"/>
      <c r="U406" s="14"/>
      <c r="V406" s="9"/>
    </row>
    <row r="407">
      <c r="B407" s="9"/>
      <c r="H407" s="14"/>
      <c r="J407" s="14"/>
      <c r="N407" s="9"/>
      <c r="P407" s="9"/>
      <c r="U407" s="14"/>
      <c r="V407" s="9"/>
    </row>
    <row r="408">
      <c r="B408" s="9"/>
      <c r="H408" s="14"/>
      <c r="J408" s="14"/>
      <c r="N408" s="9"/>
      <c r="P408" s="9"/>
      <c r="U408" s="14"/>
      <c r="V408" s="9"/>
    </row>
    <row r="409">
      <c r="B409" s="9"/>
      <c r="H409" s="14"/>
      <c r="J409" s="14"/>
      <c r="N409" s="9"/>
      <c r="P409" s="9"/>
      <c r="U409" s="14"/>
      <c r="V409" s="9"/>
    </row>
    <row r="410">
      <c r="B410" s="9"/>
      <c r="H410" s="14"/>
      <c r="J410" s="14"/>
      <c r="N410" s="9"/>
      <c r="P410" s="9"/>
      <c r="U410" s="14"/>
      <c r="V410" s="9"/>
    </row>
    <row r="411">
      <c r="B411" s="9"/>
      <c r="H411" s="14"/>
      <c r="J411" s="14"/>
      <c r="N411" s="9"/>
      <c r="P411" s="9"/>
      <c r="U411" s="14"/>
      <c r="V411" s="9"/>
    </row>
    <row r="412">
      <c r="B412" s="9"/>
      <c r="H412" s="14"/>
      <c r="J412" s="14"/>
      <c r="N412" s="9"/>
      <c r="P412" s="9"/>
      <c r="U412" s="14"/>
      <c r="V412" s="9"/>
    </row>
    <row r="413">
      <c r="B413" s="9"/>
      <c r="H413" s="14"/>
      <c r="J413" s="14"/>
      <c r="N413" s="9"/>
      <c r="P413" s="9"/>
      <c r="U413" s="14"/>
      <c r="V413" s="9"/>
    </row>
    <row r="414">
      <c r="B414" s="9"/>
      <c r="H414" s="14"/>
      <c r="J414" s="14"/>
      <c r="N414" s="9"/>
      <c r="P414" s="9"/>
      <c r="U414" s="14"/>
      <c r="V414" s="9"/>
    </row>
    <row r="415">
      <c r="B415" s="9"/>
      <c r="H415" s="14"/>
      <c r="J415" s="14"/>
      <c r="N415" s="9"/>
      <c r="P415" s="9"/>
      <c r="U415" s="14"/>
      <c r="V415" s="9"/>
    </row>
    <row r="416">
      <c r="B416" s="9"/>
      <c r="H416" s="14"/>
      <c r="J416" s="14"/>
      <c r="N416" s="9"/>
      <c r="P416" s="9"/>
      <c r="U416" s="14"/>
      <c r="V416" s="9"/>
    </row>
    <row r="417">
      <c r="B417" s="9"/>
      <c r="H417" s="14"/>
      <c r="J417" s="14"/>
      <c r="N417" s="9"/>
      <c r="P417" s="9"/>
      <c r="U417" s="14"/>
      <c r="V417" s="9"/>
    </row>
    <row r="418">
      <c r="B418" s="9"/>
      <c r="H418" s="14"/>
      <c r="J418" s="14"/>
      <c r="N418" s="9"/>
      <c r="P418" s="9"/>
      <c r="U418" s="14"/>
      <c r="V418" s="9"/>
    </row>
    <row r="419">
      <c r="B419" s="9"/>
      <c r="H419" s="14"/>
      <c r="J419" s="14"/>
      <c r="N419" s="9"/>
      <c r="P419" s="9"/>
      <c r="U419" s="14"/>
      <c r="V419" s="9"/>
    </row>
    <row r="420">
      <c r="B420" s="9"/>
      <c r="H420" s="14"/>
      <c r="J420" s="14"/>
      <c r="N420" s="9"/>
      <c r="P420" s="9"/>
      <c r="U420" s="14"/>
      <c r="V420" s="9"/>
    </row>
    <row r="421">
      <c r="B421" s="9"/>
      <c r="H421" s="14"/>
      <c r="J421" s="14"/>
      <c r="N421" s="9"/>
      <c r="P421" s="9"/>
      <c r="U421" s="14"/>
      <c r="V421" s="9"/>
    </row>
    <row r="422">
      <c r="B422" s="9"/>
      <c r="H422" s="14"/>
      <c r="J422" s="14"/>
      <c r="N422" s="9"/>
      <c r="P422" s="9"/>
      <c r="U422" s="14"/>
      <c r="V422" s="9"/>
    </row>
    <row r="423">
      <c r="B423" s="9"/>
      <c r="H423" s="14"/>
      <c r="J423" s="14"/>
      <c r="N423" s="9"/>
      <c r="P423" s="9"/>
      <c r="U423" s="14"/>
      <c r="V423" s="9"/>
    </row>
    <row r="424">
      <c r="B424" s="9"/>
      <c r="H424" s="14"/>
      <c r="J424" s="14"/>
      <c r="N424" s="9"/>
      <c r="P424" s="9"/>
      <c r="U424" s="14"/>
      <c r="V424" s="9"/>
    </row>
    <row r="425">
      <c r="B425" s="9"/>
      <c r="H425" s="14"/>
      <c r="J425" s="14"/>
      <c r="N425" s="9"/>
      <c r="P425" s="9"/>
      <c r="U425" s="14"/>
      <c r="V425" s="9"/>
    </row>
    <row r="426">
      <c r="B426" s="9"/>
      <c r="H426" s="14"/>
      <c r="J426" s="14"/>
      <c r="N426" s="9"/>
      <c r="P426" s="9"/>
      <c r="U426" s="14"/>
      <c r="V426" s="9"/>
    </row>
    <row r="427">
      <c r="B427" s="9"/>
      <c r="H427" s="14"/>
      <c r="J427" s="14"/>
      <c r="N427" s="9"/>
      <c r="P427" s="9"/>
      <c r="U427" s="14"/>
      <c r="V427" s="9"/>
    </row>
    <row r="428">
      <c r="B428" s="9"/>
      <c r="H428" s="14"/>
      <c r="J428" s="14"/>
      <c r="N428" s="9"/>
      <c r="P428" s="9"/>
      <c r="U428" s="14"/>
      <c r="V428" s="9"/>
    </row>
    <row r="429">
      <c r="B429" s="9"/>
      <c r="H429" s="14"/>
      <c r="J429" s="14"/>
      <c r="N429" s="9"/>
      <c r="P429" s="9"/>
      <c r="U429" s="14"/>
      <c r="V429" s="9"/>
    </row>
    <row r="430">
      <c r="B430" s="9"/>
      <c r="H430" s="14"/>
      <c r="J430" s="14"/>
      <c r="N430" s="9"/>
      <c r="P430" s="9"/>
      <c r="U430" s="14"/>
      <c r="V430" s="9"/>
    </row>
    <row r="431">
      <c r="B431" s="9"/>
      <c r="H431" s="14"/>
      <c r="J431" s="14"/>
      <c r="N431" s="9"/>
      <c r="P431" s="9"/>
      <c r="U431" s="14"/>
      <c r="V431" s="9"/>
    </row>
    <row r="432">
      <c r="B432" s="9"/>
      <c r="H432" s="14"/>
      <c r="J432" s="14"/>
      <c r="N432" s="9"/>
      <c r="P432" s="9"/>
      <c r="U432" s="14"/>
      <c r="V432" s="9"/>
    </row>
    <row r="433">
      <c r="B433" s="9"/>
      <c r="H433" s="14"/>
      <c r="J433" s="14"/>
      <c r="N433" s="9"/>
      <c r="P433" s="9"/>
      <c r="U433" s="14"/>
      <c r="V433" s="9"/>
    </row>
    <row r="434">
      <c r="B434" s="9"/>
      <c r="H434" s="14"/>
      <c r="J434" s="14"/>
      <c r="N434" s="9"/>
      <c r="P434" s="9"/>
      <c r="U434" s="14"/>
      <c r="V434" s="9"/>
    </row>
    <row r="435">
      <c r="B435" s="9"/>
      <c r="H435" s="14"/>
      <c r="J435" s="14"/>
      <c r="N435" s="9"/>
      <c r="P435" s="9"/>
      <c r="U435" s="14"/>
      <c r="V435" s="9"/>
    </row>
    <row r="436">
      <c r="B436" s="9"/>
      <c r="H436" s="14"/>
      <c r="J436" s="14"/>
      <c r="N436" s="9"/>
      <c r="P436" s="9"/>
      <c r="U436" s="14"/>
      <c r="V436" s="9"/>
    </row>
    <row r="437">
      <c r="B437" s="9"/>
      <c r="H437" s="14"/>
      <c r="J437" s="14"/>
      <c r="N437" s="9"/>
      <c r="P437" s="9"/>
      <c r="U437" s="14"/>
      <c r="V437" s="9"/>
    </row>
    <row r="438">
      <c r="B438" s="9"/>
      <c r="H438" s="14"/>
      <c r="J438" s="14"/>
      <c r="N438" s="9"/>
      <c r="P438" s="9"/>
      <c r="U438" s="14"/>
      <c r="V438" s="9"/>
    </row>
    <row r="439">
      <c r="B439" s="9"/>
      <c r="H439" s="14"/>
      <c r="J439" s="14"/>
      <c r="N439" s="9"/>
      <c r="P439" s="9"/>
      <c r="U439" s="14"/>
      <c r="V439" s="9"/>
    </row>
    <row r="440">
      <c r="B440" s="9"/>
      <c r="H440" s="14"/>
      <c r="J440" s="14"/>
      <c r="N440" s="9"/>
      <c r="P440" s="9"/>
      <c r="U440" s="14"/>
      <c r="V440" s="9"/>
    </row>
    <row r="441">
      <c r="B441" s="9"/>
      <c r="H441" s="14"/>
      <c r="J441" s="14"/>
      <c r="N441" s="9"/>
      <c r="P441" s="9"/>
      <c r="U441" s="14"/>
      <c r="V441" s="9"/>
    </row>
    <row r="442">
      <c r="B442" s="9"/>
      <c r="H442" s="14"/>
      <c r="J442" s="14"/>
      <c r="N442" s="9"/>
      <c r="P442" s="9"/>
      <c r="U442" s="14"/>
      <c r="V442" s="9"/>
    </row>
    <row r="443">
      <c r="B443" s="9"/>
      <c r="H443" s="14"/>
      <c r="J443" s="14"/>
      <c r="N443" s="9"/>
      <c r="P443" s="9"/>
      <c r="U443" s="14"/>
      <c r="V443" s="9"/>
    </row>
    <row r="444">
      <c r="B444" s="9"/>
      <c r="H444" s="14"/>
      <c r="J444" s="14"/>
      <c r="N444" s="9"/>
      <c r="P444" s="9"/>
      <c r="U444" s="14"/>
      <c r="V444" s="9"/>
    </row>
    <row r="445">
      <c r="B445" s="9"/>
      <c r="H445" s="14"/>
      <c r="J445" s="14"/>
      <c r="N445" s="9"/>
      <c r="P445" s="9"/>
      <c r="U445" s="14"/>
      <c r="V445" s="9"/>
    </row>
    <row r="446">
      <c r="B446" s="9"/>
      <c r="H446" s="14"/>
      <c r="J446" s="14"/>
      <c r="N446" s="9"/>
      <c r="P446" s="9"/>
      <c r="U446" s="14"/>
      <c r="V446" s="9"/>
    </row>
    <row r="447">
      <c r="B447" s="9"/>
      <c r="H447" s="14"/>
      <c r="J447" s="14"/>
      <c r="N447" s="9"/>
      <c r="P447" s="9"/>
      <c r="U447" s="14"/>
      <c r="V447" s="9"/>
    </row>
    <row r="448">
      <c r="B448" s="9"/>
      <c r="H448" s="14"/>
      <c r="J448" s="14"/>
      <c r="N448" s="9"/>
      <c r="P448" s="9"/>
      <c r="U448" s="14"/>
      <c r="V448" s="9"/>
    </row>
    <row r="449">
      <c r="B449" s="9"/>
      <c r="H449" s="14"/>
      <c r="J449" s="14"/>
      <c r="N449" s="9"/>
      <c r="P449" s="9"/>
      <c r="U449" s="14"/>
      <c r="V449" s="9"/>
    </row>
    <row r="450">
      <c r="B450" s="9"/>
      <c r="H450" s="14"/>
      <c r="J450" s="14"/>
      <c r="N450" s="9"/>
      <c r="P450" s="9"/>
      <c r="U450" s="14"/>
      <c r="V450" s="9"/>
    </row>
    <row r="451">
      <c r="B451" s="9"/>
      <c r="H451" s="14"/>
      <c r="J451" s="14"/>
      <c r="N451" s="9"/>
      <c r="P451" s="9"/>
      <c r="U451" s="14"/>
      <c r="V451" s="9"/>
    </row>
    <row r="452">
      <c r="B452" s="9"/>
      <c r="H452" s="14"/>
      <c r="J452" s="14"/>
      <c r="N452" s="9"/>
      <c r="P452" s="9"/>
      <c r="U452" s="14"/>
      <c r="V452" s="9"/>
    </row>
    <row r="453">
      <c r="B453" s="9"/>
      <c r="H453" s="14"/>
      <c r="J453" s="14"/>
      <c r="N453" s="9"/>
      <c r="P453" s="9"/>
      <c r="U453" s="14"/>
      <c r="V453" s="9"/>
    </row>
    <row r="454">
      <c r="B454" s="9"/>
      <c r="H454" s="14"/>
      <c r="J454" s="14"/>
      <c r="N454" s="9"/>
      <c r="P454" s="9"/>
      <c r="U454" s="14"/>
      <c r="V454" s="9"/>
    </row>
    <row r="455">
      <c r="B455" s="9"/>
      <c r="H455" s="14"/>
      <c r="J455" s="14"/>
      <c r="N455" s="9"/>
      <c r="P455" s="9"/>
      <c r="U455" s="14"/>
      <c r="V455" s="9"/>
    </row>
    <row r="456">
      <c r="B456" s="9"/>
      <c r="H456" s="14"/>
      <c r="J456" s="14"/>
      <c r="N456" s="9"/>
      <c r="P456" s="9"/>
      <c r="U456" s="14"/>
      <c r="V456" s="9"/>
    </row>
    <row r="457">
      <c r="B457" s="9"/>
      <c r="H457" s="14"/>
      <c r="J457" s="14"/>
      <c r="N457" s="9"/>
      <c r="P457" s="9"/>
      <c r="U457" s="14"/>
      <c r="V457" s="9"/>
    </row>
    <row r="458">
      <c r="B458" s="9"/>
      <c r="H458" s="14"/>
      <c r="J458" s="14"/>
      <c r="N458" s="9"/>
      <c r="P458" s="9"/>
      <c r="U458" s="14"/>
      <c r="V458" s="9"/>
    </row>
    <row r="459">
      <c r="B459" s="9"/>
      <c r="H459" s="14"/>
      <c r="J459" s="14"/>
      <c r="N459" s="9"/>
      <c r="P459" s="9"/>
      <c r="U459" s="14"/>
      <c r="V459" s="9"/>
    </row>
    <row r="460">
      <c r="B460" s="9"/>
      <c r="H460" s="14"/>
      <c r="J460" s="14"/>
      <c r="N460" s="9"/>
      <c r="P460" s="9"/>
      <c r="U460" s="14"/>
      <c r="V460" s="9"/>
    </row>
    <row r="461">
      <c r="B461" s="9"/>
      <c r="H461" s="14"/>
      <c r="J461" s="14"/>
      <c r="N461" s="9"/>
      <c r="P461" s="9"/>
      <c r="U461" s="14"/>
      <c r="V461" s="9"/>
    </row>
    <row r="462">
      <c r="B462" s="9"/>
      <c r="H462" s="14"/>
      <c r="J462" s="14"/>
      <c r="N462" s="9"/>
      <c r="P462" s="9"/>
      <c r="U462" s="14"/>
      <c r="V462" s="9"/>
    </row>
    <row r="463">
      <c r="B463" s="9"/>
      <c r="H463" s="14"/>
      <c r="J463" s="14"/>
      <c r="N463" s="9"/>
      <c r="P463" s="9"/>
      <c r="U463" s="14"/>
      <c r="V463" s="9"/>
    </row>
    <row r="464">
      <c r="B464" s="9"/>
      <c r="H464" s="14"/>
      <c r="J464" s="14"/>
      <c r="N464" s="9"/>
      <c r="P464" s="9"/>
      <c r="U464" s="14"/>
      <c r="V464" s="9"/>
    </row>
    <row r="465">
      <c r="B465" s="9"/>
      <c r="H465" s="14"/>
      <c r="J465" s="14"/>
      <c r="N465" s="9"/>
      <c r="P465" s="9"/>
      <c r="U465" s="14"/>
      <c r="V465" s="9"/>
    </row>
    <row r="466">
      <c r="B466" s="9"/>
      <c r="H466" s="14"/>
      <c r="J466" s="14"/>
      <c r="N466" s="9"/>
      <c r="P466" s="9"/>
      <c r="U466" s="14"/>
      <c r="V466" s="9"/>
    </row>
    <row r="467">
      <c r="B467" s="9"/>
      <c r="H467" s="14"/>
      <c r="J467" s="14"/>
      <c r="N467" s="9"/>
      <c r="P467" s="9"/>
      <c r="U467" s="14"/>
      <c r="V467" s="9"/>
    </row>
    <row r="468">
      <c r="B468" s="9"/>
      <c r="H468" s="14"/>
      <c r="J468" s="14"/>
      <c r="N468" s="9"/>
      <c r="P468" s="9"/>
      <c r="U468" s="14"/>
      <c r="V468" s="9"/>
    </row>
    <row r="469">
      <c r="B469" s="9"/>
      <c r="H469" s="14"/>
      <c r="J469" s="14"/>
      <c r="N469" s="9"/>
      <c r="P469" s="9"/>
      <c r="U469" s="14"/>
      <c r="V469" s="9"/>
    </row>
    <row r="470">
      <c r="B470" s="9"/>
      <c r="H470" s="14"/>
      <c r="J470" s="14"/>
      <c r="N470" s="9"/>
      <c r="P470" s="9"/>
      <c r="U470" s="14"/>
      <c r="V470" s="9"/>
    </row>
    <row r="471">
      <c r="B471" s="9"/>
      <c r="H471" s="14"/>
      <c r="J471" s="14"/>
      <c r="N471" s="9"/>
      <c r="P471" s="9"/>
      <c r="U471" s="14"/>
      <c r="V471" s="9"/>
    </row>
    <row r="472">
      <c r="B472" s="9"/>
      <c r="H472" s="14"/>
      <c r="J472" s="14"/>
      <c r="N472" s="9"/>
      <c r="P472" s="9"/>
      <c r="U472" s="14"/>
      <c r="V472" s="9"/>
    </row>
    <row r="473">
      <c r="B473" s="9"/>
      <c r="H473" s="14"/>
      <c r="J473" s="14"/>
      <c r="N473" s="9"/>
      <c r="P473" s="9"/>
      <c r="U473" s="14"/>
      <c r="V473" s="9"/>
    </row>
    <row r="474">
      <c r="B474" s="9"/>
      <c r="H474" s="14"/>
      <c r="J474" s="14"/>
      <c r="N474" s="9"/>
      <c r="P474" s="9"/>
      <c r="U474" s="14"/>
      <c r="V474" s="9"/>
    </row>
    <row r="475">
      <c r="B475" s="9"/>
      <c r="H475" s="14"/>
      <c r="J475" s="14"/>
      <c r="N475" s="9"/>
      <c r="P475" s="9"/>
      <c r="U475" s="14"/>
      <c r="V475" s="9"/>
    </row>
    <row r="476">
      <c r="B476" s="9"/>
      <c r="H476" s="14"/>
      <c r="J476" s="14"/>
      <c r="N476" s="9"/>
      <c r="P476" s="9"/>
      <c r="U476" s="14"/>
      <c r="V476" s="9"/>
    </row>
    <row r="477">
      <c r="B477" s="9"/>
      <c r="H477" s="14"/>
      <c r="J477" s="14"/>
      <c r="N477" s="9"/>
      <c r="P477" s="9"/>
      <c r="U477" s="14"/>
      <c r="V477" s="9"/>
    </row>
    <row r="478">
      <c r="B478" s="9"/>
      <c r="H478" s="14"/>
      <c r="J478" s="14"/>
      <c r="N478" s="9"/>
      <c r="P478" s="9"/>
      <c r="U478" s="14"/>
      <c r="V478" s="9"/>
    </row>
    <row r="479">
      <c r="B479" s="9"/>
      <c r="H479" s="14"/>
      <c r="J479" s="14"/>
      <c r="N479" s="9"/>
      <c r="P479" s="9"/>
      <c r="U479" s="14"/>
      <c r="V479" s="9"/>
    </row>
    <row r="480">
      <c r="B480" s="9"/>
      <c r="H480" s="14"/>
      <c r="J480" s="14"/>
      <c r="N480" s="9"/>
      <c r="P480" s="9"/>
      <c r="U480" s="14"/>
      <c r="V480" s="9"/>
    </row>
    <row r="481">
      <c r="B481" s="9"/>
      <c r="H481" s="14"/>
      <c r="J481" s="14"/>
      <c r="N481" s="9"/>
      <c r="P481" s="9"/>
      <c r="U481" s="14"/>
      <c r="V481" s="9"/>
    </row>
    <row r="482">
      <c r="B482" s="9"/>
      <c r="H482" s="14"/>
      <c r="J482" s="14"/>
      <c r="N482" s="9"/>
      <c r="P482" s="9"/>
      <c r="U482" s="14"/>
      <c r="V482" s="9"/>
    </row>
    <row r="483">
      <c r="B483" s="9"/>
      <c r="H483" s="14"/>
      <c r="J483" s="14"/>
      <c r="N483" s="9"/>
      <c r="P483" s="9"/>
      <c r="U483" s="14"/>
      <c r="V483" s="9"/>
    </row>
    <row r="484">
      <c r="B484" s="9"/>
      <c r="H484" s="14"/>
      <c r="J484" s="14"/>
      <c r="N484" s="9"/>
      <c r="P484" s="9"/>
      <c r="U484" s="14"/>
      <c r="V484" s="9"/>
    </row>
    <row r="485">
      <c r="B485" s="9"/>
      <c r="H485" s="14"/>
      <c r="J485" s="14"/>
      <c r="N485" s="9"/>
      <c r="P485" s="9"/>
      <c r="U485" s="14"/>
      <c r="V485" s="9"/>
    </row>
    <row r="486">
      <c r="B486" s="9"/>
      <c r="H486" s="14"/>
      <c r="J486" s="14"/>
      <c r="N486" s="9"/>
      <c r="P486" s="9"/>
      <c r="U486" s="14"/>
      <c r="V486" s="9"/>
    </row>
    <row r="487">
      <c r="B487" s="9"/>
      <c r="H487" s="14"/>
      <c r="J487" s="14"/>
      <c r="N487" s="9"/>
      <c r="P487" s="9"/>
      <c r="U487" s="14"/>
      <c r="V487" s="9"/>
    </row>
    <row r="488">
      <c r="B488" s="9"/>
      <c r="H488" s="14"/>
      <c r="J488" s="14"/>
      <c r="N488" s="9"/>
      <c r="P488" s="9"/>
      <c r="U488" s="14"/>
      <c r="V488" s="9"/>
    </row>
    <row r="489">
      <c r="B489" s="9"/>
      <c r="H489" s="14"/>
      <c r="J489" s="14"/>
      <c r="N489" s="9"/>
      <c r="P489" s="9"/>
      <c r="U489" s="14"/>
      <c r="V489" s="9"/>
    </row>
    <row r="490">
      <c r="B490" s="9"/>
      <c r="H490" s="14"/>
      <c r="J490" s="14"/>
      <c r="N490" s="9"/>
      <c r="P490" s="9"/>
      <c r="U490" s="14"/>
      <c r="V490" s="9"/>
    </row>
    <row r="491">
      <c r="B491" s="9"/>
      <c r="H491" s="14"/>
      <c r="J491" s="14"/>
      <c r="N491" s="9"/>
      <c r="P491" s="9"/>
      <c r="U491" s="14"/>
      <c r="V491" s="9"/>
    </row>
    <row r="492">
      <c r="B492" s="9"/>
      <c r="H492" s="14"/>
      <c r="J492" s="14"/>
      <c r="N492" s="9"/>
      <c r="P492" s="9"/>
      <c r="U492" s="14"/>
      <c r="V492" s="9"/>
    </row>
    <row r="493">
      <c r="B493" s="9"/>
      <c r="H493" s="14"/>
      <c r="J493" s="14"/>
      <c r="N493" s="9"/>
      <c r="P493" s="9"/>
      <c r="U493" s="14"/>
      <c r="V493" s="9"/>
    </row>
    <row r="494">
      <c r="B494" s="9"/>
      <c r="H494" s="14"/>
      <c r="J494" s="14"/>
      <c r="N494" s="9"/>
      <c r="P494" s="9"/>
      <c r="U494" s="14"/>
      <c r="V494" s="9"/>
    </row>
    <row r="495">
      <c r="B495" s="9"/>
      <c r="H495" s="14"/>
      <c r="J495" s="14"/>
      <c r="N495" s="9"/>
      <c r="P495" s="9"/>
      <c r="U495" s="14"/>
      <c r="V495" s="9"/>
    </row>
    <row r="496">
      <c r="B496" s="9"/>
      <c r="H496" s="14"/>
      <c r="J496" s="14"/>
      <c r="N496" s="9"/>
      <c r="P496" s="9"/>
      <c r="U496" s="14"/>
      <c r="V496" s="9"/>
    </row>
    <row r="497">
      <c r="B497" s="9"/>
      <c r="H497" s="14"/>
      <c r="J497" s="14"/>
      <c r="N497" s="9"/>
      <c r="P497" s="9"/>
      <c r="U497" s="14"/>
      <c r="V497" s="9"/>
    </row>
    <row r="498">
      <c r="B498" s="9"/>
      <c r="H498" s="14"/>
      <c r="J498" s="14"/>
      <c r="N498" s="9"/>
      <c r="P498" s="9"/>
      <c r="U498" s="14"/>
      <c r="V498" s="9"/>
    </row>
    <row r="499">
      <c r="B499" s="9"/>
      <c r="H499" s="14"/>
      <c r="J499" s="14"/>
      <c r="N499" s="9"/>
      <c r="P499" s="9"/>
      <c r="U499" s="14"/>
      <c r="V499" s="9"/>
    </row>
    <row r="500">
      <c r="B500" s="9"/>
      <c r="H500" s="14"/>
      <c r="J500" s="14"/>
      <c r="N500" s="9"/>
      <c r="P500" s="9"/>
      <c r="U500" s="14"/>
      <c r="V500" s="9"/>
    </row>
    <row r="501">
      <c r="B501" s="9"/>
      <c r="H501" s="14"/>
      <c r="J501" s="14"/>
      <c r="N501" s="9"/>
      <c r="P501" s="9"/>
      <c r="U501" s="14"/>
      <c r="V501" s="9"/>
    </row>
    <row r="502">
      <c r="B502" s="9"/>
      <c r="H502" s="14"/>
      <c r="J502" s="14"/>
      <c r="N502" s="9"/>
      <c r="P502" s="9"/>
      <c r="U502" s="14"/>
      <c r="V502" s="9"/>
    </row>
    <row r="503">
      <c r="B503" s="9"/>
      <c r="H503" s="14"/>
      <c r="J503" s="14"/>
      <c r="N503" s="9"/>
      <c r="P503" s="9"/>
      <c r="U503" s="14"/>
      <c r="V503" s="9"/>
    </row>
    <row r="504">
      <c r="B504" s="9"/>
      <c r="H504" s="14"/>
      <c r="J504" s="14"/>
      <c r="N504" s="9"/>
      <c r="P504" s="9"/>
      <c r="U504" s="14"/>
      <c r="V504" s="9"/>
    </row>
    <row r="505">
      <c r="B505" s="9"/>
      <c r="H505" s="14"/>
      <c r="J505" s="14"/>
      <c r="N505" s="9"/>
      <c r="P505" s="9"/>
      <c r="U505" s="14"/>
      <c r="V505" s="9"/>
    </row>
    <row r="506">
      <c r="B506" s="9"/>
      <c r="H506" s="14"/>
      <c r="J506" s="14"/>
      <c r="N506" s="9"/>
      <c r="P506" s="9"/>
      <c r="U506" s="14"/>
      <c r="V506" s="9"/>
    </row>
    <row r="507">
      <c r="B507" s="9"/>
      <c r="H507" s="14"/>
      <c r="J507" s="14"/>
      <c r="N507" s="9"/>
      <c r="P507" s="9"/>
      <c r="U507" s="14"/>
      <c r="V507" s="9"/>
    </row>
    <row r="508">
      <c r="B508" s="9"/>
      <c r="H508" s="14"/>
      <c r="J508" s="14"/>
      <c r="N508" s="9"/>
      <c r="P508" s="9"/>
      <c r="U508" s="14"/>
      <c r="V508" s="9"/>
    </row>
    <row r="509">
      <c r="B509" s="9"/>
      <c r="H509" s="14"/>
      <c r="J509" s="14"/>
      <c r="N509" s="9"/>
      <c r="P509" s="9"/>
      <c r="U509" s="14"/>
      <c r="V509" s="9"/>
    </row>
    <row r="510">
      <c r="B510" s="9"/>
      <c r="H510" s="14"/>
      <c r="J510" s="14"/>
      <c r="N510" s="9"/>
      <c r="P510" s="9"/>
      <c r="U510" s="14"/>
      <c r="V510" s="9"/>
    </row>
    <row r="511">
      <c r="B511" s="9"/>
      <c r="H511" s="14"/>
      <c r="J511" s="14"/>
      <c r="N511" s="9"/>
      <c r="P511" s="9"/>
      <c r="U511" s="14"/>
      <c r="V511" s="9"/>
    </row>
    <row r="512">
      <c r="B512" s="9"/>
      <c r="H512" s="14"/>
      <c r="J512" s="14"/>
      <c r="N512" s="9"/>
      <c r="P512" s="9"/>
      <c r="U512" s="14"/>
      <c r="V512" s="9"/>
    </row>
    <row r="513">
      <c r="B513" s="9"/>
      <c r="H513" s="14"/>
      <c r="J513" s="14"/>
      <c r="N513" s="9"/>
      <c r="P513" s="9"/>
      <c r="U513" s="14"/>
      <c r="V513" s="9"/>
    </row>
    <row r="514">
      <c r="B514" s="9"/>
      <c r="H514" s="14"/>
      <c r="J514" s="14"/>
      <c r="N514" s="9"/>
      <c r="P514" s="9"/>
      <c r="U514" s="14"/>
      <c r="V514" s="9"/>
    </row>
    <row r="515">
      <c r="B515" s="9"/>
      <c r="H515" s="14"/>
      <c r="J515" s="14"/>
      <c r="N515" s="9"/>
      <c r="P515" s="9"/>
      <c r="U515" s="14"/>
      <c r="V515" s="9"/>
    </row>
    <row r="516">
      <c r="B516" s="9"/>
      <c r="H516" s="14"/>
      <c r="J516" s="14"/>
      <c r="N516" s="9"/>
      <c r="P516" s="9"/>
      <c r="U516" s="14"/>
      <c r="V516" s="9"/>
    </row>
    <row r="517">
      <c r="B517" s="9"/>
      <c r="H517" s="14"/>
      <c r="J517" s="14"/>
      <c r="N517" s="9"/>
      <c r="P517" s="9"/>
      <c r="U517" s="14"/>
      <c r="V517" s="9"/>
    </row>
    <row r="518">
      <c r="B518" s="9"/>
      <c r="H518" s="14"/>
      <c r="J518" s="14"/>
      <c r="N518" s="9"/>
      <c r="P518" s="9"/>
      <c r="U518" s="14"/>
      <c r="V518" s="9"/>
    </row>
    <row r="519">
      <c r="B519" s="9"/>
      <c r="H519" s="14"/>
      <c r="J519" s="14"/>
      <c r="N519" s="9"/>
      <c r="P519" s="9"/>
      <c r="U519" s="14"/>
      <c r="V519" s="9"/>
    </row>
    <row r="520">
      <c r="B520" s="9"/>
      <c r="H520" s="14"/>
      <c r="J520" s="14"/>
      <c r="N520" s="9"/>
      <c r="P520" s="9"/>
      <c r="U520" s="14"/>
      <c r="V520" s="9"/>
    </row>
    <row r="521">
      <c r="B521" s="9"/>
      <c r="H521" s="14"/>
      <c r="J521" s="14"/>
      <c r="N521" s="9"/>
      <c r="P521" s="9"/>
      <c r="U521" s="14"/>
      <c r="V521" s="9"/>
    </row>
    <row r="522">
      <c r="B522" s="9"/>
      <c r="H522" s="14"/>
      <c r="J522" s="14"/>
      <c r="N522" s="9"/>
      <c r="P522" s="9"/>
      <c r="U522" s="14"/>
      <c r="V522" s="9"/>
    </row>
    <row r="523">
      <c r="B523" s="9"/>
      <c r="H523" s="14"/>
      <c r="J523" s="14"/>
      <c r="N523" s="9"/>
      <c r="P523" s="9"/>
      <c r="U523" s="14"/>
      <c r="V523" s="9"/>
    </row>
    <row r="524">
      <c r="B524" s="9"/>
      <c r="H524" s="14"/>
      <c r="J524" s="14"/>
      <c r="N524" s="9"/>
      <c r="P524" s="9"/>
      <c r="U524" s="14"/>
      <c r="V524" s="9"/>
    </row>
    <row r="525">
      <c r="B525" s="9"/>
      <c r="H525" s="14"/>
      <c r="J525" s="14"/>
      <c r="N525" s="9"/>
      <c r="P525" s="9"/>
      <c r="U525" s="14"/>
      <c r="V525" s="9"/>
    </row>
    <row r="526">
      <c r="B526" s="9"/>
      <c r="H526" s="14"/>
      <c r="J526" s="14"/>
      <c r="N526" s="9"/>
      <c r="P526" s="9"/>
      <c r="U526" s="14"/>
      <c r="V526" s="9"/>
    </row>
    <row r="527">
      <c r="B527" s="9"/>
      <c r="H527" s="14"/>
      <c r="J527" s="14"/>
      <c r="N527" s="9"/>
      <c r="P527" s="9"/>
      <c r="U527" s="14"/>
      <c r="V527" s="9"/>
    </row>
    <row r="528">
      <c r="B528" s="9"/>
      <c r="H528" s="14"/>
      <c r="J528" s="14"/>
      <c r="N528" s="9"/>
      <c r="P528" s="9"/>
      <c r="U528" s="14"/>
      <c r="V528" s="9"/>
    </row>
    <row r="529">
      <c r="B529" s="9"/>
      <c r="H529" s="14"/>
      <c r="J529" s="14"/>
      <c r="N529" s="9"/>
      <c r="P529" s="9"/>
      <c r="U529" s="14"/>
      <c r="V529" s="9"/>
    </row>
    <row r="530">
      <c r="B530" s="9"/>
      <c r="H530" s="14"/>
      <c r="J530" s="14"/>
      <c r="N530" s="9"/>
      <c r="P530" s="9"/>
      <c r="U530" s="14"/>
      <c r="V530" s="9"/>
    </row>
    <row r="531">
      <c r="B531" s="9"/>
      <c r="H531" s="14"/>
      <c r="J531" s="14"/>
      <c r="N531" s="9"/>
      <c r="P531" s="9"/>
      <c r="U531" s="14"/>
      <c r="V531" s="9"/>
    </row>
    <row r="532">
      <c r="B532" s="9"/>
      <c r="H532" s="14"/>
      <c r="J532" s="14"/>
      <c r="N532" s="9"/>
      <c r="P532" s="9"/>
      <c r="U532" s="14"/>
      <c r="V532" s="9"/>
    </row>
    <row r="533">
      <c r="B533" s="9"/>
      <c r="H533" s="14"/>
      <c r="J533" s="14"/>
      <c r="N533" s="9"/>
      <c r="P533" s="9"/>
      <c r="U533" s="14"/>
      <c r="V533" s="9"/>
    </row>
    <row r="534">
      <c r="B534" s="9"/>
      <c r="H534" s="14"/>
      <c r="J534" s="14"/>
      <c r="N534" s="9"/>
      <c r="P534" s="9"/>
      <c r="U534" s="14"/>
      <c r="V534" s="9"/>
    </row>
    <row r="535">
      <c r="B535" s="9"/>
      <c r="H535" s="14"/>
      <c r="J535" s="14"/>
      <c r="N535" s="9"/>
      <c r="P535" s="9"/>
      <c r="U535" s="14"/>
      <c r="V535" s="9"/>
    </row>
    <row r="536">
      <c r="B536" s="9"/>
      <c r="H536" s="14"/>
      <c r="J536" s="14"/>
      <c r="N536" s="9"/>
      <c r="P536" s="9"/>
      <c r="U536" s="14"/>
      <c r="V536" s="9"/>
    </row>
    <row r="537">
      <c r="B537" s="9"/>
      <c r="H537" s="14"/>
      <c r="J537" s="14"/>
      <c r="N537" s="9"/>
      <c r="P537" s="9"/>
      <c r="U537" s="14"/>
      <c r="V537" s="9"/>
    </row>
    <row r="538">
      <c r="B538" s="9"/>
      <c r="H538" s="14"/>
      <c r="J538" s="14"/>
      <c r="N538" s="9"/>
      <c r="P538" s="9"/>
      <c r="U538" s="14"/>
      <c r="V538" s="9"/>
    </row>
    <row r="539">
      <c r="B539" s="9"/>
      <c r="H539" s="14"/>
      <c r="J539" s="14"/>
      <c r="N539" s="9"/>
      <c r="P539" s="9"/>
      <c r="U539" s="14"/>
      <c r="V539" s="9"/>
    </row>
    <row r="540">
      <c r="B540" s="9"/>
      <c r="H540" s="14"/>
      <c r="J540" s="14"/>
      <c r="N540" s="9"/>
      <c r="P540" s="9"/>
      <c r="U540" s="14"/>
      <c r="V540" s="9"/>
    </row>
    <row r="541">
      <c r="B541" s="9"/>
      <c r="H541" s="14"/>
      <c r="J541" s="14"/>
      <c r="N541" s="9"/>
      <c r="P541" s="9"/>
      <c r="U541" s="14"/>
      <c r="V541" s="9"/>
    </row>
    <row r="542">
      <c r="B542" s="9"/>
      <c r="H542" s="14"/>
      <c r="J542" s="14"/>
      <c r="N542" s="9"/>
      <c r="P542" s="9"/>
      <c r="U542" s="14"/>
      <c r="V542" s="9"/>
    </row>
    <row r="543">
      <c r="B543" s="9"/>
      <c r="H543" s="14"/>
      <c r="J543" s="14"/>
      <c r="N543" s="9"/>
      <c r="P543" s="9"/>
      <c r="U543" s="14"/>
      <c r="V543" s="9"/>
    </row>
    <row r="544">
      <c r="B544" s="9"/>
      <c r="H544" s="14"/>
      <c r="J544" s="14"/>
      <c r="N544" s="9"/>
      <c r="P544" s="9"/>
      <c r="U544" s="14"/>
      <c r="V544" s="9"/>
    </row>
    <row r="545">
      <c r="B545" s="9"/>
      <c r="H545" s="14"/>
      <c r="J545" s="14"/>
      <c r="N545" s="9"/>
      <c r="P545" s="9"/>
      <c r="U545" s="14"/>
      <c r="V545" s="9"/>
    </row>
    <row r="546">
      <c r="B546" s="9"/>
      <c r="H546" s="14"/>
      <c r="J546" s="14"/>
      <c r="N546" s="9"/>
      <c r="P546" s="9"/>
      <c r="U546" s="14"/>
      <c r="V546" s="9"/>
    </row>
    <row r="547">
      <c r="B547" s="9"/>
      <c r="H547" s="14"/>
      <c r="J547" s="14"/>
      <c r="N547" s="9"/>
      <c r="P547" s="9"/>
      <c r="U547" s="14"/>
      <c r="V547" s="9"/>
    </row>
    <row r="548">
      <c r="B548" s="9"/>
      <c r="H548" s="14"/>
      <c r="J548" s="14"/>
      <c r="N548" s="9"/>
      <c r="P548" s="9"/>
      <c r="U548" s="14"/>
      <c r="V548" s="9"/>
    </row>
    <row r="549">
      <c r="B549" s="9"/>
      <c r="H549" s="14"/>
      <c r="J549" s="14"/>
      <c r="N549" s="9"/>
      <c r="P549" s="9"/>
      <c r="U549" s="14"/>
      <c r="V549" s="9"/>
    </row>
    <row r="550">
      <c r="B550" s="9"/>
      <c r="H550" s="14"/>
      <c r="J550" s="14"/>
      <c r="N550" s="9"/>
      <c r="P550" s="9"/>
      <c r="U550" s="14"/>
      <c r="V550" s="9"/>
    </row>
    <row r="551">
      <c r="B551" s="9"/>
      <c r="H551" s="14"/>
      <c r="J551" s="14"/>
      <c r="N551" s="9"/>
      <c r="P551" s="9"/>
      <c r="U551" s="14"/>
      <c r="V551" s="9"/>
    </row>
    <row r="552">
      <c r="B552" s="9"/>
      <c r="H552" s="14"/>
      <c r="J552" s="14"/>
      <c r="N552" s="9"/>
      <c r="P552" s="9"/>
      <c r="U552" s="14"/>
      <c r="V552" s="9"/>
    </row>
    <row r="553">
      <c r="B553" s="9"/>
      <c r="H553" s="14"/>
      <c r="J553" s="14"/>
      <c r="N553" s="9"/>
      <c r="P553" s="9"/>
      <c r="U553" s="14"/>
      <c r="V553" s="9"/>
    </row>
    <row r="554">
      <c r="B554" s="9"/>
      <c r="H554" s="14"/>
      <c r="J554" s="14"/>
      <c r="N554" s="9"/>
      <c r="P554" s="9"/>
      <c r="U554" s="14"/>
      <c r="V554" s="9"/>
    </row>
    <row r="555">
      <c r="B555" s="9"/>
      <c r="H555" s="14"/>
      <c r="J555" s="14"/>
      <c r="N555" s="9"/>
      <c r="P555" s="9"/>
      <c r="U555" s="14"/>
      <c r="V555" s="9"/>
    </row>
    <row r="556">
      <c r="B556" s="9"/>
      <c r="H556" s="14"/>
      <c r="J556" s="14"/>
      <c r="N556" s="9"/>
      <c r="P556" s="9"/>
      <c r="U556" s="14"/>
      <c r="V556" s="9"/>
    </row>
    <row r="557">
      <c r="B557" s="9"/>
      <c r="H557" s="14"/>
      <c r="J557" s="14"/>
      <c r="N557" s="9"/>
      <c r="P557" s="9"/>
      <c r="U557" s="14"/>
      <c r="V557" s="9"/>
    </row>
    <row r="558">
      <c r="B558" s="9"/>
      <c r="H558" s="14"/>
      <c r="J558" s="14"/>
      <c r="N558" s="9"/>
      <c r="P558" s="9"/>
      <c r="U558" s="14"/>
      <c r="V558" s="9"/>
    </row>
    <row r="559">
      <c r="B559" s="9"/>
      <c r="H559" s="14"/>
      <c r="J559" s="14"/>
      <c r="N559" s="9"/>
      <c r="P559" s="9"/>
      <c r="U559" s="14"/>
      <c r="V559" s="9"/>
    </row>
    <row r="560">
      <c r="B560" s="9"/>
      <c r="H560" s="14"/>
      <c r="J560" s="14"/>
      <c r="N560" s="9"/>
      <c r="P560" s="9"/>
      <c r="U560" s="14"/>
      <c r="V560" s="9"/>
    </row>
    <row r="561">
      <c r="B561" s="9"/>
      <c r="H561" s="14"/>
      <c r="J561" s="14"/>
      <c r="N561" s="9"/>
      <c r="P561" s="9"/>
      <c r="U561" s="14"/>
      <c r="V561" s="9"/>
    </row>
    <row r="562">
      <c r="B562" s="9"/>
      <c r="H562" s="14"/>
      <c r="J562" s="14"/>
      <c r="N562" s="9"/>
      <c r="P562" s="9"/>
      <c r="U562" s="14"/>
      <c r="V562" s="9"/>
    </row>
    <row r="563">
      <c r="B563" s="9"/>
      <c r="H563" s="14"/>
      <c r="J563" s="14"/>
      <c r="N563" s="9"/>
      <c r="P563" s="9"/>
      <c r="U563" s="14"/>
      <c r="V563" s="9"/>
    </row>
    <row r="564">
      <c r="B564" s="9"/>
      <c r="H564" s="14"/>
      <c r="J564" s="14"/>
      <c r="N564" s="9"/>
      <c r="P564" s="9"/>
      <c r="U564" s="14"/>
      <c r="V564" s="9"/>
    </row>
    <row r="565">
      <c r="B565" s="9"/>
      <c r="H565" s="14"/>
      <c r="J565" s="14"/>
      <c r="N565" s="9"/>
      <c r="P565" s="9"/>
      <c r="U565" s="14"/>
      <c r="V565" s="9"/>
    </row>
    <row r="566">
      <c r="B566" s="9"/>
      <c r="H566" s="14"/>
      <c r="J566" s="14"/>
      <c r="N566" s="9"/>
      <c r="P566" s="9"/>
      <c r="U566" s="14"/>
      <c r="V566" s="9"/>
    </row>
    <row r="567">
      <c r="B567" s="9"/>
      <c r="H567" s="14"/>
      <c r="J567" s="14"/>
      <c r="N567" s="9"/>
      <c r="P567" s="9"/>
      <c r="U567" s="14"/>
      <c r="V567" s="9"/>
    </row>
    <row r="568">
      <c r="B568" s="9"/>
      <c r="H568" s="14"/>
      <c r="J568" s="14"/>
      <c r="N568" s="9"/>
      <c r="P568" s="9"/>
      <c r="U568" s="14"/>
      <c r="V568" s="9"/>
    </row>
    <row r="569">
      <c r="B569" s="9"/>
      <c r="H569" s="14"/>
      <c r="J569" s="14"/>
      <c r="N569" s="9"/>
      <c r="P569" s="9"/>
      <c r="U569" s="14"/>
      <c r="V569" s="9"/>
    </row>
    <row r="570">
      <c r="B570" s="9"/>
      <c r="H570" s="14"/>
      <c r="J570" s="14"/>
      <c r="N570" s="9"/>
      <c r="P570" s="9"/>
      <c r="U570" s="14"/>
      <c r="V570" s="9"/>
    </row>
    <row r="571">
      <c r="B571" s="9"/>
      <c r="H571" s="14"/>
      <c r="J571" s="14"/>
      <c r="N571" s="9"/>
      <c r="P571" s="9"/>
      <c r="U571" s="14"/>
      <c r="V571" s="9"/>
    </row>
    <row r="572">
      <c r="B572" s="9"/>
      <c r="H572" s="14"/>
      <c r="J572" s="14"/>
      <c r="N572" s="9"/>
      <c r="P572" s="9"/>
      <c r="U572" s="14"/>
      <c r="V572" s="9"/>
    </row>
    <row r="573">
      <c r="B573" s="9"/>
      <c r="H573" s="14"/>
      <c r="J573" s="14"/>
      <c r="N573" s="9"/>
      <c r="P573" s="9"/>
      <c r="U573" s="14"/>
      <c r="V573" s="9"/>
    </row>
    <row r="574">
      <c r="B574" s="9"/>
      <c r="H574" s="14"/>
      <c r="J574" s="14"/>
      <c r="N574" s="9"/>
      <c r="P574" s="9"/>
      <c r="U574" s="14"/>
      <c r="V574" s="9"/>
    </row>
    <row r="575">
      <c r="B575" s="9"/>
      <c r="H575" s="14"/>
      <c r="J575" s="14"/>
      <c r="N575" s="9"/>
      <c r="P575" s="9"/>
      <c r="U575" s="14"/>
      <c r="V575" s="9"/>
    </row>
    <row r="576">
      <c r="B576" s="9"/>
      <c r="H576" s="14"/>
      <c r="J576" s="14"/>
      <c r="N576" s="9"/>
      <c r="P576" s="9"/>
      <c r="U576" s="14"/>
      <c r="V576" s="9"/>
    </row>
    <row r="577">
      <c r="B577" s="9"/>
      <c r="H577" s="14"/>
      <c r="J577" s="14"/>
      <c r="N577" s="9"/>
      <c r="P577" s="9"/>
      <c r="U577" s="14"/>
      <c r="V577" s="9"/>
    </row>
    <row r="578">
      <c r="B578" s="9"/>
      <c r="H578" s="14"/>
      <c r="J578" s="14"/>
      <c r="N578" s="9"/>
      <c r="P578" s="9"/>
      <c r="U578" s="14"/>
      <c r="V578" s="9"/>
    </row>
    <row r="579">
      <c r="B579" s="9"/>
      <c r="H579" s="14"/>
      <c r="J579" s="14"/>
      <c r="N579" s="9"/>
      <c r="P579" s="9"/>
      <c r="U579" s="14"/>
      <c r="V579" s="9"/>
    </row>
    <row r="580">
      <c r="B580" s="9"/>
      <c r="H580" s="14"/>
      <c r="J580" s="14"/>
      <c r="N580" s="9"/>
      <c r="P580" s="9"/>
      <c r="U580" s="14"/>
      <c r="V580" s="9"/>
    </row>
    <row r="581">
      <c r="B581" s="9"/>
      <c r="H581" s="14"/>
      <c r="J581" s="14"/>
      <c r="N581" s="9"/>
      <c r="P581" s="9"/>
      <c r="U581" s="14"/>
      <c r="V581" s="9"/>
    </row>
    <row r="582">
      <c r="B582" s="9"/>
      <c r="H582" s="14"/>
      <c r="J582" s="14"/>
      <c r="N582" s="9"/>
      <c r="P582" s="9"/>
      <c r="U582" s="14"/>
      <c r="V582" s="9"/>
    </row>
    <row r="583">
      <c r="B583" s="9"/>
      <c r="H583" s="14"/>
      <c r="J583" s="14"/>
      <c r="N583" s="9"/>
      <c r="P583" s="9"/>
      <c r="U583" s="14"/>
      <c r="V583" s="9"/>
    </row>
    <row r="584">
      <c r="B584" s="9"/>
      <c r="H584" s="14"/>
      <c r="J584" s="14"/>
      <c r="N584" s="9"/>
      <c r="P584" s="9"/>
      <c r="U584" s="14"/>
      <c r="V584" s="9"/>
    </row>
    <row r="585">
      <c r="B585" s="9"/>
      <c r="H585" s="14"/>
      <c r="J585" s="14"/>
      <c r="N585" s="9"/>
      <c r="P585" s="9"/>
      <c r="U585" s="14"/>
      <c r="V585" s="9"/>
    </row>
    <row r="586">
      <c r="B586" s="9"/>
      <c r="H586" s="14"/>
      <c r="J586" s="14"/>
      <c r="N586" s="9"/>
      <c r="P586" s="9"/>
      <c r="U586" s="14"/>
      <c r="V586" s="9"/>
    </row>
    <row r="587">
      <c r="B587" s="9"/>
      <c r="H587" s="14"/>
      <c r="J587" s="14"/>
      <c r="N587" s="9"/>
      <c r="P587" s="9"/>
      <c r="U587" s="14"/>
      <c r="V587" s="9"/>
    </row>
    <row r="588">
      <c r="B588" s="9"/>
      <c r="H588" s="14"/>
      <c r="J588" s="14"/>
      <c r="N588" s="9"/>
      <c r="P588" s="9"/>
      <c r="U588" s="14"/>
      <c r="V588" s="9"/>
    </row>
    <row r="589">
      <c r="B589" s="9"/>
      <c r="H589" s="14"/>
      <c r="J589" s="14"/>
      <c r="N589" s="9"/>
      <c r="P589" s="9"/>
      <c r="U589" s="14"/>
      <c r="V589" s="9"/>
    </row>
    <row r="590">
      <c r="B590" s="9"/>
      <c r="H590" s="14"/>
      <c r="J590" s="14"/>
      <c r="N590" s="9"/>
      <c r="P590" s="9"/>
      <c r="U590" s="14"/>
      <c r="V590" s="9"/>
    </row>
    <row r="591">
      <c r="B591" s="9"/>
      <c r="H591" s="14"/>
      <c r="J591" s="14"/>
      <c r="N591" s="9"/>
      <c r="P591" s="9"/>
      <c r="U591" s="14"/>
      <c r="V591" s="9"/>
    </row>
    <row r="592">
      <c r="B592" s="9"/>
      <c r="H592" s="14"/>
      <c r="J592" s="14"/>
      <c r="N592" s="9"/>
      <c r="P592" s="9"/>
      <c r="U592" s="14"/>
      <c r="V592" s="9"/>
    </row>
    <row r="593">
      <c r="B593" s="9"/>
      <c r="H593" s="14"/>
      <c r="J593" s="14"/>
      <c r="N593" s="9"/>
      <c r="P593" s="9"/>
      <c r="U593" s="14"/>
      <c r="V593" s="9"/>
    </row>
    <row r="594">
      <c r="B594" s="9"/>
      <c r="H594" s="14"/>
      <c r="J594" s="14"/>
      <c r="N594" s="9"/>
      <c r="P594" s="9"/>
      <c r="U594" s="14"/>
      <c r="V594" s="9"/>
    </row>
    <row r="595">
      <c r="B595" s="9"/>
      <c r="H595" s="14"/>
      <c r="J595" s="14"/>
      <c r="N595" s="9"/>
      <c r="P595" s="9"/>
      <c r="U595" s="14"/>
      <c r="V595" s="9"/>
    </row>
    <row r="596">
      <c r="B596" s="9"/>
      <c r="H596" s="14"/>
      <c r="J596" s="14"/>
      <c r="N596" s="9"/>
      <c r="P596" s="9"/>
      <c r="U596" s="14"/>
      <c r="V596" s="9"/>
    </row>
    <row r="597">
      <c r="B597" s="9"/>
      <c r="H597" s="14"/>
      <c r="J597" s="14"/>
      <c r="N597" s="9"/>
      <c r="P597" s="9"/>
      <c r="U597" s="14"/>
      <c r="V597" s="9"/>
    </row>
    <row r="598">
      <c r="B598" s="9"/>
      <c r="H598" s="14"/>
      <c r="J598" s="14"/>
      <c r="N598" s="9"/>
      <c r="P598" s="9"/>
      <c r="U598" s="14"/>
      <c r="V598" s="9"/>
    </row>
    <row r="599">
      <c r="B599" s="9"/>
      <c r="H599" s="14"/>
      <c r="J599" s="14"/>
      <c r="N599" s="9"/>
      <c r="P599" s="9"/>
      <c r="U599" s="14"/>
      <c r="V599" s="9"/>
    </row>
    <row r="600">
      <c r="B600" s="9"/>
      <c r="H600" s="14"/>
      <c r="J600" s="14"/>
      <c r="N600" s="9"/>
      <c r="P600" s="9"/>
      <c r="U600" s="14"/>
      <c r="V600" s="9"/>
    </row>
    <row r="601">
      <c r="B601" s="9"/>
      <c r="H601" s="14"/>
      <c r="J601" s="14"/>
      <c r="N601" s="9"/>
      <c r="P601" s="9"/>
      <c r="U601" s="14"/>
      <c r="V601" s="9"/>
    </row>
    <row r="602">
      <c r="B602" s="9"/>
      <c r="H602" s="14"/>
      <c r="J602" s="14"/>
      <c r="N602" s="9"/>
      <c r="P602" s="9"/>
      <c r="U602" s="14"/>
      <c r="V602" s="9"/>
    </row>
    <row r="603">
      <c r="B603" s="9"/>
      <c r="H603" s="14"/>
      <c r="J603" s="14"/>
      <c r="N603" s="9"/>
      <c r="P603" s="9"/>
      <c r="U603" s="14"/>
      <c r="V603" s="9"/>
    </row>
    <row r="604">
      <c r="B604" s="9"/>
      <c r="H604" s="14"/>
      <c r="J604" s="14"/>
      <c r="N604" s="9"/>
      <c r="P604" s="9"/>
      <c r="U604" s="14"/>
      <c r="V604" s="9"/>
    </row>
    <row r="605">
      <c r="B605" s="9"/>
      <c r="H605" s="14"/>
      <c r="J605" s="14"/>
      <c r="N605" s="9"/>
      <c r="P605" s="9"/>
      <c r="U605" s="14"/>
      <c r="V605" s="9"/>
    </row>
    <row r="606">
      <c r="B606" s="9"/>
      <c r="H606" s="14"/>
      <c r="J606" s="14"/>
      <c r="N606" s="9"/>
      <c r="P606" s="9"/>
      <c r="U606" s="14"/>
      <c r="V606" s="9"/>
    </row>
    <row r="607">
      <c r="B607" s="9"/>
      <c r="H607" s="14"/>
      <c r="J607" s="14"/>
      <c r="N607" s="9"/>
      <c r="P607" s="9"/>
      <c r="U607" s="14"/>
      <c r="V607" s="9"/>
    </row>
    <row r="608">
      <c r="B608" s="9"/>
      <c r="H608" s="14"/>
      <c r="J608" s="14"/>
      <c r="N608" s="9"/>
      <c r="P608" s="9"/>
      <c r="U608" s="14"/>
      <c r="V608" s="9"/>
    </row>
    <row r="609">
      <c r="B609" s="9"/>
      <c r="H609" s="14"/>
      <c r="J609" s="14"/>
      <c r="N609" s="9"/>
      <c r="P609" s="9"/>
      <c r="U609" s="14"/>
      <c r="V609" s="9"/>
    </row>
    <row r="610">
      <c r="B610" s="9"/>
      <c r="H610" s="14"/>
      <c r="J610" s="14"/>
      <c r="N610" s="9"/>
      <c r="P610" s="9"/>
      <c r="U610" s="14"/>
      <c r="V610" s="9"/>
    </row>
    <row r="611">
      <c r="B611" s="9"/>
      <c r="H611" s="14"/>
      <c r="J611" s="14"/>
      <c r="N611" s="9"/>
      <c r="P611" s="9"/>
      <c r="U611" s="14"/>
      <c r="V611" s="9"/>
    </row>
    <row r="612">
      <c r="B612" s="9"/>
      <c r="H612" s="14"/>
      <c r="J612" s="14"/>
      <c r="N612" s="9"/>
      <c r="P612" s="9"/>
      <c r="U612" s="14"/>
      <c r="V612" s="9"/>
    </row>
    <row r="613">
      <c r="B613" s="9"/>
      <c r="H613" s="14"/>
      <c r="J613" s="14"/>
      <c r="N613" s="9"/>
      <c r="P613" s="9"/>
      <c r="U613" s="14"/>
      <c r="V613" s="9"/>
    </row>
    <row r="614">
      <c r="B614" s="9"/>
      <c r="H614" s="14"/>
      <c r="J614" s="14"/>
      <c r="N614" s="9"/>
      <c r="P614" s="9"/>
      <c r="U614" s="14"/>
      <c r="V614" s="9"/>
    </row>
    <row r="615">
      <c r="B615" s="9"/>
      <c r="H615" s="14"/>
      <c r="J615" s="14"/>
      <c r="N615" s="9"/>
      <c r="P615" s="9"/>
      <c r="U615" s="14"/>
      <c r="V615" s="9"/>
    </row>
    <row r="616">
      <c r="B616" s="9"/>
      <c r="H616" s="14"/>
      <c r="J616" s="14"/>
      <c r="N616" s="9"/>
      <c r="P616" s="9"/>
      <c r="U616" s="14"/>
      <c r="V616" s="9"/>
    </row>
    <row r="617">
      <c r="B617" s="9"/>
      <c r="H617" s="14"/>
      <c r="J617" s="14"/>
      <c r="N617" s="9"/>
      <c r="P617" s="9"/>
      <c r="U617" s="14"/>
      <c r="V617" s="9"/>
    </row>
    <row r="618">
      <c r="B618" s="9"/>
      <c r="H618" s="14"/>
      <c r="J618" s="14"/>
      <c r="N618" s="9"/>
      <c r="P618" s="9"/>
      <c r="U618" s="14"/>
      <c r="V618" s="9"/>
    </row>
    <row r="619">
      <c r="B619" s="9"/>
      <c r="H619" s="14"/>
      <c r="J619" s="14"/>
      <c r="N619" s="9"/>
      <c r="P619" s="9"/>
      <c r="U619" s="14"/>
      <c r="V619" s="9"/>
    </row>
    <row r="620">
      <c r="B620" s="9"/>
      <c r="H620" s="14"/>
      <c r="J620" s="14"/>
      <c r="N620" s="9"/>
      <c r="P620" s="9"/>
      <c r="U620" s="14"/>
      <c r="V620" s="9"/>
    </row>
    <row r="621">
      <c r="B621" s="9"/>
      <c r="H621" s="14"/>
      <c r="J621" s="14"/>
      <c r="N621" s="9"/>
      <c r="P621" s="9"/>
      <c r="U621" s="14"/>
      <c r="V621" s="9"/>
    </row>
    <row r="622">
      <c r="B622" s="9"/>
      <c r="H622" s="14"/>
      <c r="J622" s="14"/>
      <c r="N622" s="9"/>
      <c r="P622" s="9"/>
      <c r="U622" s="14"/>
      <c r="V622" s="9"/>
    </row>
    <row r="623">
      <c r="B623" s="9"/>
      <c r="H623" s="14"/>
      <c r="J623" s="14"/>
      <c r="N623" s="9"/>
      <c r="P623" s="9"/>
      <c r="U623" s="14"/>
      <c r="V623" s="9"/>
    </row>
    <row r="624">
      <c r="B624" s="9"/>
      <c r="H624" s="14"/>
      <c r="J624" s="14"/>
      <c r="N624" s="9"/>
      <c r="P624" s="9"/>
      <c r="U624" s="14"/>
      <c r="V624" s="9"/>
    </row>
    <row r="625">
      <c r="B625" s="9"/>
      <c r="H625" s="14"/>
      <c r="J625" s="14"/>
      <c r="N625" s="9"/>
      <c r="P625" s="9"/>
      <c r="U625" s="14"/>
      <c r="V625" s="9"/>
    </row>
    <row r="626">
      <c r="B626" s="9"/>
      <c r="H626" s="14"/>
      <c r="J626" s="14"/>
      <c r="N626" s="9"/>
      <c r="P626" s="9"/>
      <c r="U626" s="14"/>
      <c r="V626" s="9"/>
    </row>
    <row r="627">
      <c r="B627" s="9"/>
      <c r="H627" s="14"/>
      <c r="J627" s="14"/>
      <c r="N627" s="9"/>
      <c r="P627" s="9"/>
      <c r="U627" s="14"/>
      <c r="V627" s="9"/>
    </row>
    <row r="628">
      <c r="B628" s="9"/>
      <c r="H628" s="14"/>
      <c r="J628" s="14"/>
      <c r="N628" s="9"/>
      <c r="P628" s="9"/>
      <c r="U628" s="14"/>
      <c r="V628" s="9"/>
    </row>
    <row r="629">
      <c r="B629" s="9"/>
      <c r="H629" s="14"/>
      <c r="J629" s="14"/>
      <c r="N629" s="9"/>
      <c r="P629" s="9"/>
      <c r="U629" s="14"/>
      <c r="V629" s="9"/>
    </row>
    <row r="630">
      <c r="B630" s="9"/>
      <c r="H630" s="14"/>
      <c r="J630" s="14"/>
      <c r="N630" s="9"/>
      <c r="P630" s="9"/>
      <c r="U630" s="14"/>
      <c r="V630" s="9"/>
    </row>
    <row r="631">
      <c r="B631" s="9"/>
      <c r="H631" s="14"/>
      <c r="J631" s="14"/>
      <c r="N631" s="9"/>
      <c r="P631" s="9"/>
      <c r="U631" s="14"/>
      <c r="V631" s="9"/>
    </row>
    <row r="632">
      <c r="B632" s="9"/>
      <c r="H632" s="14"/>
      <c r="J632" s="14"/>
      <c r="N632" s="9"/>
      <c r="P632" s="9"/>
      <c r="U632" s="14"/>
      <c r="V632" s="9"/>
    </row>
    <row r="633">
      <c r="B633" s="9"/>
      <c r="H633" s="14"/>
      <c r="J633" s="14"/>
      <c r="N633" s="9"/>
      <c r="P633" s="9"/>
      <c r="U633" s="14"/>
      <c r="V633" s="9"/>
    </row>
    <row r="634">
      <c r="B634" s="9"/>
      <c r="H634" s="14"/>
      <c r="J634" s="14"/>
      <c r="N634" s="9"/>
      <c r="P634" s="9"/>
      <c r="U634" s="14"/>
      <c r="V634" s="9"/>
    </row>
    <row r="635">
      <c r="B635" s="9"/>
      <c r="H635" s="14"/>
      <c r="J635" s="14"/>
      <c r="N635" s="9"/>
      <c r="P635" s="9"/>
      <c r="U635" s="14"/>
      <c r="V635" s="9"/>
    </row>
    <row r="636">
      <c r="B636" s="9"/>
      <c r="H636" s="14"/>
      <c r="J636" s="14"/>
      <c r="N636" s="9"/>
      <c r="P636" s="9"/>
      <c r="U636" s="14"/>
      <c r="V636" s="9"/>
    </row>
    <row r="637">
      <c r="B637" s="9"/>
      <c r="H637" s="14"/>
      <c r="J637" s="14"/>
      <c r="N637" s="9"/>
      <c r="P637" s="9"/>
      <c r="U637" s="14"/>
      <c r="V637" s="9"/>
    </row>
    <row r="638">
      <c r="B638" s="9"/>
      <c r="H638" s="14"/>
      <c r="J638" s="14"/>
      <c r="N638" s="9"/>
      <c r="P638" s="9"/>
      <c r="U638" s="14"/>
      <c r="V638" s="9"/>
    </row>
    <row r="639">
      <c r="B639" s="9"/>
      <c r="H639" s="14"/>
      <c r="J639" s="14"/>
      <c r="N639" s="9"/>
      <c r="P639" s="9"/>
      <c r="U639" s="14"/>
      <c r="V639" s="9"/>
    </row>
    <row r="640">
      <c r="B640" s="9"/>
      <c r="H640" s="14"/>
      <c r="J640" s="14"/>
      <c r="N640" s="9"/>
      <c r="P640" s="9"/>
      <c r="U640" s="14"/>
      <c r="V640" s="9"/>
    </row>
    <row r="641">
      <c r="B641" s="9"/>
      <c r="H641" s="14"/>
      <c r="J641" s="14"/>
      <c r="N641" s="9"/>
      <c r="P641" s="9"/>
      <c r="U641" s="14"/>
      <c r="V641" s="9"/>
    </row>
    <row r="642">
      <c r="B642" s="9"/>
      <c r="H642" s="14"/>
      <c r="J642" s="14"/>
      <c r="N642" s="9"/>
      <c r="P642" s="9"/>
      <c r="U642" s="14"/>
      <c r="V642" s="9"/>
    </row>
    <row r="643">
      <c r="B643" s="9"/>
      <c r="H643" s="14"/>
      <c r="J643" s="14"/>
      <c r="N643" s="9"/>
      <c r="P643" s="9"/>
      <c r="U643" s="14"/>
      <c r="V643" s="9"/>
    </row>
    <row r="644">
      <c r="B644" s="9"/>
      <c r="H644" s="14"/>
      <c r="J644" s="14"/>
      <c r="N644" s="9"/>
      <c r="P644" s="9"/>
      <c r="U644" s="14"/>
      <c r="V644" s="9"/>
    </row>
    <row r="645">
      <c r="B645" s="9"/>
      <c r="H645" s="14"/>
      <c r="J645" s="14"/>
      <c r="N645" s="9"/>
      <c r="P645" s="9"/>
      <c r="U645" s="14"/>
      <c r="V645" s="9"/>
    </row>
    <row r="646">
      <c r="B646" s="9"/>
      <c r="H646" s="14"/>
      <c r="J646" s="14"/>
      <c r="N646" s="9"/>
      <c r="P646" s="9"/>
      <c r="U646" s="14"/>
      <c r="V646" s="9"/>
    </row>
    <row r="647">
      <c r="B647" s="9"/>
      <c r="H647" s="14"/>
      <c r="J647" s="14"/>
      <c r="N647" s="9"/>
      <c r="P647" s="9"/>
      <c r="U647" s="14"/>
      <c r="V647" s="9"/>
    </row>
    <row r="648">
      <c r="B648" s="9"/>
      <c r="H648" s="14"/>
      <c r="J648" s="14"/>
      <c r="N648" s="9"/>
      <c r="P648" s="9"/>
      <c r="U648" s="14"/>
      <c r="V648" s="9"/>
    </row>
    <row r="649">
      <c r="B649" s="9"/>
      <c r="H649" s="14"/>
      <c r="J649" s="14"/>
      <c r="N649" s="9"/>
      <c r="P649" s="9"/>
      <c r="U649" s="14"/>
      <c r="V649" s="9"/>
    </row>
    <row r="650">
      <c r="B650" s="9"/>
      <c r="H650" s="14"/>
      <c r="J650" s="14"/>
      <c r="N650" s="9"/>
      <c r="P650" s="9"/>
      <c r="U650" s="14"/>
      <c r="V650" s="9"/>
    </row>
    <row r="651">
      <c r="B651" s="9"/>
      <c r="H651" s="14"/>
      <c r="J651" s="14"/>
      <c r="N651" s="9"/>
      <c r="P651" s="9"/>
      <c r="U651" s="14"/>
      <c r="V651" s="9"/>
    </row>
    <row r="652">
      <c r="B652" s="9"/>
      <c r="H652" s="14"/>
      <c r="J652" s="14"/>
      <c r="N652" s="9"/>
      <c r="P652" s="9"/>
      <c r="U652" s="14"/>
      <c r="V652" s="9"/>
    </row>
    <row r="653">
      <c r="B653" s="9"/>
      <c r="H653" s="14"/>
      <c r="J653" s="14"/>
      <c r="N653" s="9"/>
      <c r="P653" s="9"/>
      <c r="U653" s="14"/>
      <c r="V653" s="9"/>
    </row>
    <row r="654">
      <c r="B654" s="9"/>
      <c r="H654" s="14"/>
      <c r="J654" s="14"/>
      <c r="N654" s="9"/>
      <c r="P654" s="9"/>
      <c r="U654" s="14"/>
      <c r="V654" s="9"/>
    </row>
    <row r="655">
      <c r="B655" s="9"/>
      <c r="H655" s="14"/>
      <c r="J655" s="14"/>
      <c r="N655" s="9"/>
      <c r="P655" s="9"/>
      <c r="U655" s="14"/>
      <c r="V655" s="9"/>
    </row>
    <row r="656">
      <c r="B656" s="9"/>
      <c r="H656" s="14"/>
      <c r="J656" s="14"/>
      <c r="N656" s="9"/>
      <c r="P656" s="9"/>
      <c r="U656" s="14"/>
      <c r="V656" s="9"/>
    </row>
    <row r="657">
      <c r="B657" s="9"/>
      <c r="H657" s="14"/>
      <c r="J657" s="14"/>
      <c r="N657" s="9"/>
      <c r="P657" s="9"/>
      <c r="U657" s="14"/>
      <c r="V657" s="9"/>
    </row>
    <row r="658">
      <c r="B658" s="9"/>
      <c r="H658" s="14"/>
      <c r="J658" s="14"/>
      <c r="N658" s="9"/>
      <c r="P658" s="9"/>
      <c r="U658" s="14"/>
      <c r="V658" s="9"/>
    </row>
    <row r="659">
      <c r="B659" s="9"/>
      <c r="H659" s="14"/>
      <c r="J659" s="14"/>
      <c r="N659" s="9"/>
      <c r="P659" s="9"/>
      <c r="U659" s="14"/>
      <c r="V659" s="9"/>
    </row>
    <row r="660">
      <c r="B660" s="9"/>
      <c r="H660" s="14"/>
      <c r="J660" s="14"/>
      <c r="N660" s="9"/>
      <c r="P660" s="9"/>
      <c r="U660" s="14"/>
      <c r="V660" s="9"/>
    </row>
    <row r="661">
      <c r="B661" s="9"/>
      <c r="H661" s="14"/>
      <c r="J661" s="14"/>
      <c r="N661" s="9"/>
      <c r="P661" s="9"/>
      <c r="U661" s="14"/>
      <c r="V661" s="9"/>
    </row>
    <row r="662">
      <c r="B662" s="9"/>
      <c r="H662" s="14"/>
      <c r="J662" s="14"/>
      <c r="N662" s="9"/>
      <c r="P662" s="9"/>
      <c r="U662" s="14"/>
      <c r="V662" s="9"/>
    </row>
    <row r="663">
      <c r="B663" s="9"/>
      <c r="H663" s="14"/>
      <c r="J663" s="14"/>
      <c r="N663" s="9"/>
      <c r="P663" s="9"/>
      <c r="U663" s="14"/>
      <c r="V663" s="9"/>
    </row>
    <row r="664">
      <c r="B664" s="9"/>
      <c r="H664" s="14"/>
      <c r="J664" s="14"/>
      <c r="N664" s="9"/>
      <c r="P664" s="9"/>
      <c r="U664" s="14"/>
      <c r="V664" s="9"/>
    </row>
    <row r="665">
      <c r="B665" s="9"/>
      <c r="H665" s="14"/>
      <c r="J665" s="14"/>
      <c r="N665" s="9"/>
      <c r="P665" s="9"/>
      <c r="U665" s="14"/>
      <c r="V665" s="9"/>
    </row>
    <row r="666">
      <c r="B666" s="9"/>
      <c r="H666" s="14"/>
      <c r="J666" s="14"/>
      <c r="N666" s="9"/>
      <c r="P666" s="9"/>
      <c r="U666" s="14"/>
      <c r="V666" s="9"/>
    </row>
    <row r="667">
      <c r="B667" s="9"/>
      <c r="H667" s="14"/>
      <c r="J667" s="14"/>
      <c r="N667" s="9"/>
      <c r="P667" s="9"/>
      <c r="U667" s="14"/>
      <c r="V667" s="9"/>
    </row>
    <row r="668">
      <c r="B668" s="9"/>
      <c r="H668" s="14"/>
      <c r="J668" s="14"/>
      <c r="N668" s="9"/>
      <c r="P668" s="9"/>
      <c r="U668" s="14"/>
      <c r="V668" s="9"/>
    </row>
    <row r="669">
      <c r="B669" s="9"/>
      <c r="H669" s="14"/>
      <c r="J669" s="14"/>
      <c r="N669" s="9"/>
      <c r="P669" s="9"/>
      <c r="U669" s="14"/>
      <c r="V669" s="9"/>
    </row>
    <row r="670">
      <c r="B670" s="9"/>
      <c r="H670" s="14"/>
      <c r="J670" s="14"/>
      <c r="N670" s="9"/>
      <c r="P670" s="9"/>
      <c r="U670" s="14"/>
      <c r="V670" s="9"/>
    </row>
    <row r="671">
      <c r="B671" s="9"/>
      <c r="H671" s="14"/>
      <c r="J671" s="14"/>
      <c r="N671" s="9"/>
      <c r="P671" s="9"/>
      <c r="U671" s="14"/>
      <c r="V671" s="9"/>
    </row>
    <row r="672">
      <c r="B672" s="9"/>
      <c r="H672" s="14"/>
      <c r="J672" s="14"/>
      <c r="N672" s="9"/>
      <c r="P672" s="9"/>
      <c r="U672" s="14"/>
      <c r="V672" s="9"/>
    </row>
    <row r="673">
      <c r="B673" s="9"/>
      <c r="H673" s="14"/>
      <c r="J673" s="14"/>
      <c r="N673" s="9"/>
      <c r="P673" s="9"/>
      <c r="U673" s="14"/>
      <c r="V673" s="9"/>
    </row>
    <row r="674">
      <c r="B674" s="9"/>
      <c r="H674" s="14"/>
      <c r="J674" s="14"/>
      <c r="N674" s="9"/>
      <c r="P674" s="9"/>
      <c r="U674" s="14"/>
      <c r="V674" s="9"/>
    </row>
    <row r="675">
      <c r="B675" s="9"/>
      <c r="H675" s="14"/>
      <c r="J675" s="14"/>
      <c r="N675" s="9"/>
      <c r="P675" s="9"/>
      <c r="U675" s="14"/>
      <c r="V675" s="9"/>
    </row>
    <row r="676">
      <c r="B676" s="9"/>
      <c r="H676" s="14"/>
      <c r="J676" s="14"/>
      <c r="N676" s="9"/>
      <c r="P676" s="9"/>
      <c r="U676" s="14"/>
      <c r="V676" s="9"/>
    </row>
    <row r="677">
      <c r="B677" s="9"/>
      <c r="H677" s="14"/>
      <c r="J677" s="14"/>
      <c r="N677" s="9"/>
      <c r="P677" s="9"/>
      <c r="U677" s="14"/>
      <c r="V677" s="9"/>
    </row>
    <row r="678">
      <c r="B678" s="9"/>
      <c r="H678" s="14"/>
      <c r="J678" s="14"/>
      <c r="N678" s="9"/>
      <c r="P678" s="9"/>
      <c r="U678" s="14"/>
      <c r="V678" s="9"/>
    </row>
    <row r="679">
      <c r="B679" s="9"/>
      <c r="H679" s="14"/>
      <c r="J679" s="14"/>
      <c r="N679" s="9"/>
      <c r="P679" s="9"/>
      <c r="U679" s="14"/>
      <c r="V679" s="9"/>
    </row>
    <row r="680">
      <c r="B680" s="9"/>
      <c r="H680" s="14"/>
      <c r="J680" s="14"/>
      <c r="N680" s="9"/>
      <c r="P680" s="9"/>
      <c r="U680" s="14"/>
      <c r="V680" s="9"/>
    </row>
    <row r="681">
      <c r="B681" s="9"/>
      <c r="H681" s="14"/>
      <c r="J681" s="14"/>
      <c r="N681" s="9"/>
      <c r="P681" s="9"/>
      <c r="U681" s="14"/>
      <c r="V681" s="9"/>
    </row>
    <row r="682">
      <c r="B682" s="9"/>
      <c r="H682" s="14"/>
      <c r="J682" s="14"/>
      <c r="N682" s="9"/>
      <c r="P682" s="9"/>
      <c r="U682" s="14"/>
      <c r="V682" s="9"/>
    </row>
    <row r="683">
      <c r="B683" s="9"/>
      <c r="H683" s="14"/>
      <c r="J683" s="14"/>
      <c r="N683" s="9"/>
      <c r="P683" s="9"/>
      <c r="U683" s="14"/>
      <c r="V683" s="9"/>
    </row>
    <row r="684">
      <c r="B684" s="9"/>
      <c r="H684" s="14"/>
      <c r="J684" s="14"/>
      <c r="N684" s="9"/>
      <c r="P684" s="9"/>
      <c r="U684" s="14"/>
      <c r="V684" s="9"/>
    </row>
    <row r="685">
      <c r="B685" s="9"/>
      <c r="H685" s="14"/>
      <c r="J685" s="14"/>
      <c r="N685" s="9"/>
      <c r="P685" s="9"/>
      <c r="U685" s="14"/>
      <c r="V685" s="9"/>
    </row>
    <row r="686">
      <c r="B686" s="9"/>
      <c r="H686" s="14"/>
      <c r="J686" s="14"/>
      <c r="N686" s="9"/>
      <c r="P686" s="9"/>
      <c r="U686" s="14"/>
      <c r="V686" s="9"/>
    </row>
    <row r="687">
      <c r="B687" s="9"/>
      <c r="H687" s="14"/>
      <c r="J687" s="14"/>
      <c r="N687" s="9"/>
      <c r="P687" s="9"/>
      <c r="U687" s="14"/>
      <c r="V687" s="9"/>
    </row>
    <row r="688">
      <c r="B688" s="9"/>
      <c r="H688" s="14"/>
      <c r="J688" s="14"/>
      <c r="N688" s="9"/>
      <c r="P688" s="9"/>
      <c r="U688" s="14"/>
      <c r="V688" s="9"/>
    </row>
    <row r="689">
      <c r="B689" s="9"/>
      <c r="H689" s="14"/>
      <c r="J689" s="14"/>
      <c r="N689" s="9"/>
      <c r="P689" s="9"/>
      <c r="U689" s="14"/>
      <c r="V689" s="9"/>
    </row>
    <row r="690">
      <c r="B690" s="9"/>
      <c r="H690" s="14"/>
      <c r="J690" s="14"/>
      <c r="N690" s="9"/>
      <c r="P690" s="9"/>
      <c r="U690" s="14"/>
      <c r="V690" s="9"/>
    </row>
    <row r="691">
      <c r="B691" s="9"/>
      <c r="H691" s="14"/>
      <c r="J691" s="14"/>
      <c r="N691" s="9"/>
      <c r="P691" s="9"/>
      <c r="U691" s="14"/>
      <c r="V691" s="9"/>
    </row>
    <row r="692">
      <c r="B692" s="9"/>
      <c r="H692" s="14"/>
      <c r="J692" s="14"/>
      <c r="N692" s="9"/>
      <c r="P692" s="9"/>
      <c r="U692" s="14"/>
      <c r="V692" s="9"/>
    </row>
    <row r="693">
      <c r="B693" s="9"/>
      <c r="H693" s="14"/>
      <c r="J693" s="14"/>
      <c r="N693" s="9"/>
      <c r="P693" s="9"/>
      <c r="U693" s="14"/>
      <c r="V693" s="9"/>
    </row>
    <row r="694">
      <c r="B694" s="9"/>
      <c r="H694" s="14"/>
      <c r="J694" s="14"/>
      <c r="N694" s="9"/>
      <c r="P694" s="9"/>
      <c r="U694" s="14"/>
      <c r="V694" s="9"/>
    </row>
    <row r="695">
      <c r="B695" s="9"/>
      <c r="H695" s="14"/>
      <c r="J695" s="14"/>
      <c r="N695" s="9"/>
      <c r="P695" s="9"/>
      <c r="U695" s="14"/>
      <c r="V695" s="9"/>
    </row>
    <row r="696">
      <c r="B696" s="9"/>
      <c r="H696" s="14"/>
      <c r="J696" s="14"/>
      <c r="N696" s="9"/>
      <c r="P696" s="9"/>
      <c r="U696" s="14"/>
      <c r="V696" s="9"/>
    </row>
    <row r="697">
      <c r="B697" s="9"/>
      <c r="H697" s="14"/>
      <c r="J697" s="14"/>
      <c r="N697" s="9"/>
      <c r="P697" s="9"/>
      <c r="U697" s="14"/>
      <c r="V697" s="9"/>
    </row>
    <row r="698">
      <c r="B698" s="9"/>
      <c r="H698" s="14"/>
      <c r="J698" s="14"/>
      <c r="N698" s="9"/>
      <c r="P698" s="9"/>
      <c r="U698" s="14"/>
      <c r="V698" s="9"/>
    </row>
    <row r="699">
      <c r="B699" s="9"/>
      <c r="H699" s="14"/>
      <c r="J699" s="14"/>
      <c r="N699" s="9"/>
      <c r="P699" s="9"/>
      <c r="U699" s="14"/>
      <c r="V699" s="9"/>
    </row>
    <row r="700">
      <c r="B700" s="9"/>
      <c r="H700" s="14"/>
      <c r="J700" s="14"/>
      <c r="N700" s="9"/>
      <c r="P700" s="9"/>
      <c r="U700" s="14"/>
      <c r="V700" s="9"/>
    </row>
    <row r="701">
      <c r="B701" s="9"/>
      <c r="H701" s="14"/>
      <c r="J701" s="14"/>
      <c r="N701" s="9"/>
      <c r="P701" s="9"/>
      <c r="U701" s="14"/>
      <c r="V701" s="9"/>
    </row>
    <row r="702">
      <c r="B702" s="9"/>
      <c r="H702" s="14"/>
      <c r="J702" s="14"/>
      <c r="N702" s="9"/>
      <c r="P702" s="9"/>
      <c r="U702" s="14"/>
      <c r="V702" s="9"/>
    </row>
    <row r="703">
      <c r="B703" s="9"/>
      <c r="H703" s="14"/>
      <c r="J703" s="14"/>
      <c r="N703" s="9"/>
      <c r="P703" s="9"/>
      <c r="U703" s="14"/>
      <c r="V703" s="9"/>
    </row>
    <row r="704">
      <c r="B704" s="9"/>
      <c r="H704" s="14"/>
      <c r="J704" s="14"/>
      <c r="N704" s="9"/>
      <c r="P704" s="9"/>
      <c r="U704" s="14"/>
      <c r="V704" s="9"/>
    </row>
    <row r="705">
      <c r="B705" s="9"/>
      <c r="H705" s="14"/>
      <c r="J705" s="14"/>
      <c r="N705" s="9"/>
      <c r="P705" s="9"/>
      <c r="U705" s="14"/>
      <c r="V705" s="9"/>
    </row>
    <row r="706">
      <c r="B706" s="9"/>
      <c r="H706" s="14"/>
      <c r="J706" s="14"/>
      <c r="N706" s="9"/>
      <c r="P706" s="9"/>
      <c r="U706" s="14"/>
      <c r="V706" s="9"/>
    </row>
    <row r="707">
      <c r="B707" s="9"/>
      <c r="H707" s="14"/>
      <c r="J707" s="14"/>
      <c r="N707" s="9"/>
      <c r="P707" s="9"/>
      <c r="U707" s="14"/>
      <c r="V707" s="9"/>
    </row>
    <row r="708">
      <c r="B708" s="9"/>
      <c r="H708" s="14"/>
      <c r="J708" s="14"/>
      <c r="N708" s="9"/>
      <c r="P708" s="9"/>
      <c r="U708" s="14"/>
      <c r="V708" s="9"/>
    </row>
    <row r="709">
      <c r="B709" s="9"/>
      <c r="H709" s="14"/>
      <c r="J709" s="14"/>
      <c r="N709" s="9"/>
      <c r="P709" s="9"/>
      <c r="U709" s="14"/>
      <c r="V709" s="9"/>
    </row>
    <row r="710">
      <c r="B710" s="9"/>
      <c r="H710" s="14"/>
      <c r="J710" s="14"/>
      <c r="N710" s="9"/>
      <c r="P710" s="9"/>
      <c r="U710" s="14"/>
      <c r="V710" s="9"/>
    </row>
    <row r="711">
      <c r="B711" s="9"/>
      <c r="H711" s="14"/>
      <c r="J711" s="14"/>
      <c r="N711" s="9"/>
      <c r="P711" s="9"/>
      <c r="U711" s="14"/>
      <c r="V711" s="9"/>
    </row>
    <row r="712">
      <c r="B712" s="9"/>
      <c r="H712" s="14"/>
      <c r="J712" s="14"/>
      <c r="N712" s="9"/>
      <c r="P712" s="9"/>
      <c r="U712" s="14"/>
      <c r="V712" s="9"/>
    </row>
    <row r="713">
      <c r="B713" s="9"/>
      <c r="H713" s="14"/>
      <c r="J713" s="14"/>
      <c r="N713" s="9"/>
      <c r="P713" s="9"/>
      <c r="U713" s="14"/>
      <c r="V713" s="9"/>
    </row>
    <row r="714">
      <c r="B714" s="9"/>
      <c r="H714" s="14"/>
      <c r="J714" s="14"/>
      <c r="N714" s="9"/>
      <c r="P714" s="9"/>
      <c r="U714" s="14"/>
      <c r="V714" s="9"/>
    </row>
    <row r="715">
      <c r="B715" s="9"/>
      <c r="H715" s="14"/>
      <c r="J715" s="14"/>
      <c r="N715" s="9"/>
      <c r="P715" s="9"/>
      <c r="U715" s="14"/>
      <c r="V715" s="9"/>
    </row>
    <row r="716">
      <c r="B716" s="9"/>
      <c r="H716" s="14"/>
      <c r="J716" s="14"/>
      <c r="N716" s="9"/>
      <c r="P716" s="9"/>
      <c r="U716" s="14"/>
      <c r="V716" s="9"/>
    </row>
    <row r="717">
      <c r="B717" s="9"/>
      <c r="H717" s="14"/>
      <c r="J717" s="14"/>
      <c r="N717" s="9"/>
      <c r="P717" s="9"/>
      <c r="U717" s="14"/>
      <c r="V717" s="9"/>
    </row>
    <row r="718">
      <c r="B718" s="9"/>
      <c r="H718" s="14"/>
      <c r="J718" s="14"/>
      <c r="N718" s="9"/>
      <c r="P718" s="9"/>
      <c r="U718" s="14"/>
      <c r="V718" s="9"/>
    </row>
    <row r="719">
      <c r="B719" s="9"/>
      <c r="H719" s="14"/>
      <c r="J719" s="14"/>
      <c r="N719" s="9"/>
      <c r="P719" s="9"/>
      <c r="U719" s="14"/>
      <c r="V719" s="9"/>
    </row>
    <row r="720">
      <c r="B720" s="9"/>
      <c r="H720" s="14"/>
      <c r="J720" s="14"/>
      <c r="N720" s="9"/>
      <c r="P720" s="9"/>
      <c r="U720" s="14"/>
      <c r="V720" s="9"/>
    </row>
    <row r="721">
      <c r="B721" s="9"/>
      <c r="H721" s="14"/>
      <c r="J721" s="14"/>
      <c r="N721" s="9"/>
      <c r="P721" s="9"/>
      <c r="U721" s="14"/>
      <c r="V721" s="9"/>
    </row>
    <row r="722">
      <c r="B722" s="9"/>
      <c r="H722" s="14"/>
      <c r="J722" s="14"/>
      <c r="N722" s="9"/>
      <c r="P722" s="9"/>
      <c r="U722" s="14"/>
      <c r="V722" s="9"/>
    </row>
    <row r="723">
      <c r="B723" s="9"/>
      <c r="H723" s="14"/>
      <c r="J723" s="14"/>
      <c r="N723" s="9"/>
      <c r="P723" s="9"/>
      <c r="U723" s="14"/>
      <c r="V723" s="9"/>
    </row>
    <row r="724">
      <c r="B724" s="9"/>
      <c r="H724" s="14"/>
      <c r="J724" s="14"/>
      <c r="N724" s="9"/>
      <c r="P724" s="9"/>
      <c r="U724" s="14"/>
      <c r="V724" s="9"/>
    </row>
    <row r="725">
      <c r="B725" s="9"/>
      <c r="H725" s="14"/>
      <c r="J725" s="14"/>
      <c r="N725" s="9"/>
      <c r="P725" s="9"/>
      <c r="U725" s="14"/>
      <c r="V725" s="9"/>
    </row>
    <row r="726">
      <c r="B726" s="9"/>
      <c r="H726" s="14"/>
      <c r="J726" s="14"/>
      <c r="N726" s="9"/>
      <c r="P726" s="9"/>
      <c r="U726" s="14"/>
      <c r="V726" s="9"/>
    </row>
    <row r="727">
      <c r="B727" s="9"/>
      <c r="H727" s="14"/>
      <c r="J727" s="14"/>
      <c r="N727" s="9"/>
      <c r="P727" s="9"/>
      <c r="U727" s="14"/>
      <c r="V727" s="9"/>
    </row>
    <row r="728">
      <c r="B728" s="9"/>
      <c r="H728" s="14"/>
      <c r="J728" s="14"/>
      <c r="N728" s="9"/>
      <c r="P728" s="9"/>
      <c r="U728" s="14"/>
      <c r="V728" s="9"/>
    </row>
    <row r="729">
      <c r="B729" s="9"/>
      <c r="H729" s="14"/>
      <c r="J729" s="14"/>
      <c r="N729" s="9"/>
      <c r="P729" s="9"/>
      <c r="U729" s="14"/>
      <c r="V729" s="9"/>
    </row>
    <row r="730">
      <c r="B730" s="9"/>
      <c r="H730" s="14"/>
      <c r="J730" s="14"/>
      <c r="N730" s="9"/>
      <c r="P730" s="9"/>
      <c r="U730" s="14"/>
      <c r="V730" s="9"/>
    </row>
    <row r="731">
      <c r="B731" s="9"/>
      <c r="H731" s="14"/>
      <c r="J731" s="14"/>
      <c r="N731" s="9"/>
      <c r="P731" s="9"/>
      <c r="U731" s="14"/>
      <c r="V731" s="9"/>
    </row>
    <row r="732">
      <c r="B732" s="9"/>
      <c r="H732" s="14"/>
      <c r="J732" s="14"/>
      <c r="N732" s="9"/>
      <c r="P732" s="9"/>
      <c r="U732" s="14"/>
      <c r="V732" s="9"/>
    </row>
    <row r="733">
      <c r="B733" s="9"/>
      <c r="H733" s="14"/>
      <c r="J733" s="14"/>
      <c r="N733" s="9"/>
      <c r="P733" s="9"/>
      <c r="U733" s="14"/>
      <c r="V733" s="9"/>
    </row>
    <row r="734">
      <c r="B734" s="9"/>
      <c r="H734" s="14"/>
      <c r="J734" s="14"/>
      <c r="N734" s="9"/>
      <c r="P734" s="9"/>
      <c r="U734" s="14"/>
      <c r="V734" s="9"/>
    </row>
    <row r="735">
      <c r="B735" s="9"/>
      <c r="H735" s="14"/>
      <c r="J735" s="14"/>
      <c r="N735" s="9"/>
      <c r="P735" s="9"/>
      <c r="U735" s="14"/>
      <c r="V735" s="9"/>
    </row>
    <row r="736">
      <c r="B736" s="9"/>
      <c r="H736" s="14"/>
      <c r="J736" s="14"/>
      <c r="N736" s="9"/>
      <c r="P736" s="9"/>
      <c r="U736" s="14"/>
      <c r="V736" s="9"/>
    </row>
    <row r="737">
      <c r="B737" s="9"/>
      <c r="H737" s="14"/>
      <c r="J737" s="14"/>
      <c r="N737" s="9"/>
      <c r="P737" s="9"/>
      <c r="U737" s="14"/>
      <c r="V737" s="9"/>
    </row>
    <row r="738">
      <c r="B738" s="9"/>
      <c r="H738" s="14"/>
      <c r="J738" s="14"/>
      <c r="N738" s="9"/>
      <c r="P738" s="9"/>
      <c r="U738" s="14"/>
      <c r="V738" s="9"/>
    </row>
    <row r="739">
      <c r="B739" s="9"/>
      <c r="H739" s="14"/>
      <c r="J739" s="14"/>
      <c r="N739" s="9"/>
      <c r="P739" s="9"/>
      <c r="U739" s="14"/>
      <c r="V739" s="9"/>
    </row>
    <row r="740">
      <c r="B740" s="9"/>
      <c r="H740" s="14"/>
      <c r="J740" s="14"/>
      <c r="N740" s="9"/>
      <c r="P740" s="9"/>
      <c r="U740" s="14"/>
      <c r="V740" s="9"/>
    </row>
    <row r="741">
      <c r="B741" s="9"/>
      <c r="H741" s="14"/>
      <c r="J741" s="14"/>
      <c r="N741" s="9"/>
      <c r="P741" s="9"/>
      <c r="U741" s="14"/>
      <c r="V741" s="9"/>
    </row>
    <row r="742">
      <c r="B742" s="9"/>
      <c r="H742" s="14"/>
      <c r="J742" s="14"/>
      <c r="N742" s="9"/>
      <c r="P742" s="9"/>
      <c r="U742" s="14"/>
      <c r="V742" s="9"/>
    </row>
    <row r="743">
      <c r="B743" s="9"/>
      <c r="H743" s="14"/>
      <c r="J743" s="14"/>
      <c r="N743" s="9"/>
      <c r="P743" s="9"/>
      <c r="U743" s="14"/>
      <c r="V743" s="9"/>
    </row>
    <row r="744">
      <c r="B744" s="9"/>
      <c r="H744" s="14"/>
      <c r="J744" s="14"/>
      <c r="N744" s="9"/>
      <c r="P744" s="9"/>
      <c r="U744" s="14"/>
      <c r="V744" s="9"/>
    </row>
    <row r="745">
      <c r="B745" s="9"/>
      <c r="H745" s="14"/>
      <c r="J745" s="14"/>
      <c r="N745" s="9"/>
      <c r="P745" s="9"/>
      <c r="U745" s="14"/>
      <c r="V745" s="9"/>
    </row>
    <row r="746">
      <c r="B746" s="9"/>
      <c r="H746" s="14"/>
      <c r="J746" s="14"/>
      <c r="N746" s="9"/>
      <c r="P746" s="9"/>
      <c r="U746" s="14"/>
      <c r="V746" s="9"/>
    </row>
    <row r="747">
      <c r="B747" s="9"/>
      <c r="H747" s="14"/>
      <c r="J747" s="14"/>
      <c r="N747" s="9"/>
      <c r="P747" s="9"/>
      <c r="U747" s="14"/>
      <c r="V747" s="9"/>
    </row>
    <row r="748">
      <c r="B748" s="9"/>
      <c r="H748" s="14"/>
      <c r="J748" s="14"/>
      <c r="N748" s="9"/>
      <c r="P748" s="9"/>
      <c r="U748" s="14"/>
      <c r="V748" s="9"/>
    </row>
    <row r="749">
      <c r="B749" s="9"/>
      <c r="H749" s="14"/>
      <c r="J749" s="14"/>
      <c r="N749" s="9"/>
      <c r="P749" s="9"/>
      <c r="U749" s="14"/>
      <c r="V749" s="9"/>
    </row>
    <row r="750">
      <c r="B750" s="9"/>
      <c r="H750" s="14"/>
      <c r="J750" s="14"/>
      <c r="N750" s="9"/>
      <c r="P750" s="9"/>
      <c r="U750" s="14"/>
      <c r="V750" s="9"/>
    </row>
    <row r="751">
      <c r="B751" s="9"/>
      <c r="H751" s="14"/>
      <c r="J751" s="14"/>
      <c r="N751" s="9"/>
      <c r="P751" s="9"/>
      <c r="U751" s="14"/>
      <c r="V751" s="9"/>
    </row>
    <row r="752">
      <c r="B752" s="9"/>
      <c r="H752" s="14"/>
      <c r="J752" s="14"/>
      <c r="N752" s="9"/>
      <c r="P752" s="9"/>
      <c r="U752" s="14"/>
      <c r="V752" s="9"/>
    </row>
    <row r="753">
      <c r="B753" s="9"/>
      <c r="H753" s="14"/>
      <c r="J753" s="14"/>
      <c r="N753" s="9"/>
      <c r="P753" s="9"/>
      <c r="U753" s="14"/>
      <c r="V753" s="9"/>
    </row>
    <row r="754">
      <c r="B754" s="9"/>
      <c r="H754" s="14"/>
      <c r="J754" s="14"/>
      <c r="N754" s="9"/>
      <c r="P754" s="9"/>
      <c r="U754" s="14"/>
      <c r="V754" s="9"/>
    </row>
    <row r="755">
      <c r="B755" s="9"/>
      <c r="H755" s="14"/>
      <c r="J755" s="14"/>
      <c r="N755" s="9"/>
      <c r="P755" s="9"/>
      <c r="U755" s="14"/>
      <c r="V755" s="9"/>
    </row>
    <row r="756">
      <c r="B756" s="9"/>
      <c r="H756" s="14"/>
      <c r="J756" s="14"/>
      <c r="N756" s="9"/>
      <c r="P756" s="9"/>
      <c r="U756" s="14"/>
      <c r="V756" s="9"/>
    </row>
    <row r="757">
      <c r="B757" s="9"/>
      <c r="H757" s="14"/>
      <c r="J757" s="14"/>
      <c r="N757" s="9"/>
      <c r="P757" s="9"/>
      <c r="U757" s="14"/>
      <c r="V757" s="9"/>
    </row>
    <row r="758">
      <c r="B758" s="9"/>
      <c r="H758" s="14"/>
      <c r="J758" s="14"/>
      <c r="N758" s="9"/>
      <c r="P758" s="9"/>
      <c r="U758" s="14"/>
      <c r="V758" s="9"/>
    </row>
    <row r="759">
      <c r="B759" s="9"/>
      <c r="H759" s="14"/>
      <c r="J759" s="14"/>
      <c r="N759" s="9"/>
      <c r="P759" s="9"/>
      <c r="U759" s="14"/>
      <c r="V759" s="9"/>
    </row>
    <row r="760">
      <c r="B760" s="9"/>
      <c r="H760" s="14"/>
      <c r="J760" s="14"/>
      <c r="N760" s="9"/>
      <c r="P760" s="9"/>
      <c r="U760" s="14"/>
      <c r="V760" s="9"/>
    </row>
    <row r="761">
      <c r="B761" s="9"/>
      <c r="H761" s="14"/>
      <c r="J761" s="14"/>
      <c r="N761" s="9"/>
      <c r="P761" s="9"/>
      <c r="U761" s="14"/>
      <c r="V761" s="9"/>
    </row>
    <row r="762">
      <c r="B762" s="9"/>
      <c r="H762" s="14"/>
      <c r="J762" s="14"/>
      <c r="N762" s="9"/>
      <c r="P762" s="9"/>
      <c r="U762" s="14"/>
      <c r="V762" s="9"/>
    </row>
    <row r="763">
      <c r="B763" s="9"/>
      <c r="H763" s="14"/>
      <c r="J763" s="14"/>
      <c r="N763" s="9"/>
      <c r="P763" s="9"/>
      <c r="U763" s="14"/>
      <c r="V763" s="9"/>
    </row>
    <row r="764">
      <c r="B764" s="9"/>
      <c r="H764" s="14"/>
      <c r="J764" s="14"/>
      <c r="N764" s="9"/>
      <c r="P764" s="9"/>
      <c r="U764" s="14"/>
      <c r="V764" s="9"/>
    </row>
    <row r="765">
      <c r="B765" s="9"/>
      <c r="H765" s="14"/>
      <c r="J765" s="14"/>
      <c r="N765" s="9"/>
      <c r="P765" s="9"/>
      <c r="U765" s="14"/>
      <c r="V765" s="9"/>
    </row>
    <row r="766">
      <c r="B766" s="9"/>
      <c r="H766" s="14"/>
      <c r="J766" s="14"/>
      <c r="N766" s="9"/>
      <c r="P766" s="9"/>
      <c r="U766" s="14"/>
      <c r="V766" s="9"/>
    </row>
    <row r="767">
      <c r="B767" s="9"/>
      <c r="H767" s="14"/>
      <c r="J767" s="14"/>
      <c r="N767" s="9"/>
      <c r="P767" s="9"/>
      <c r="U767" s="14"/>
      <c r="V767" s="9"/>
    </row>
    <row r="768">
      <c r="B768" s="9"/>
      <c r="H768" s="14"/>
      <c r="J768" s="14"/>
      <c r="N768" s="9"/>
      <c r="P768" s="9"/>
      <c r="U768" s="14"/>
      <c r="V768" s="9"/>
    </row>
    <row r="769">
      <c r="B769" s="9"/>
      <c r="H769" s="14"/>
      <c r="J769" s="14"/>
      <c r="N769" s="9"/>
      <c r="P769" s="9"/>
      <c r="U769" s="14"/>
      <c r="V769" s="9"/>
    </row>
    <row r="770">
      <c r="B770" s="9"/>
      <c r="H770" s="14"/>
      <c r="J770" s="14"/>
      <c r="N770" s="9"/>
      <c r="P770" s="9"/>
      <c r="U770" s="14"/>
      <c r="V770" s="9"/>
    </row>
    <row r="771">
      <c r="B771" s="9"/>
      <c r="H771" s="14"/>
      <c r="J771" s="14"/>
      <c r="N771" s="9"/>
      <c r="P771" s="9"/>
      <c r="U771" s="14"/>
      <c r="V771" s="9"/>
    </row>
    <row r="772">
      <c r="B772" s="9"/>
      <c r="H772" s="14"/>
      <c r="J772" s="14"/>
      <c r="N772" s="9"/>
      <c r="P772" s="9"/>
      <c r="U772" s="14"/>
      <c r="V772" s="9"/>
    </row>
    <row r="773">
      <c r="B773" s="9"/>
      <c r="H773" s="14"/>
      <c r="J773" s="14"/>
      <c r="N773" s="9"/>
      <c r="P773" s="9"/>
      <c r="U773" s="14"/>
      <c r="V773" s="9"/>
    </row>
    <row r="774">
      <c r="B774" s="9"/>
      <c r="H774" s="14"/>
      <c r="J774" s="14"/>
      <c r="N774" s="9"/>
      <c r="P774" s="9"/>
      <c r="U774" s="14"/>
      <c r="V774" s="9"/>
    </row>
    <row r="775">
      <c r="B775" s="9"/>
      <c r="H775" s="14"/>
      <c r="J775" s="14"/>
      <c r="N775" s="9"/>
      <c r="P775" s="9"/>
      <c r="U775" s="14"/>
      <c r="V775" s="9"/>
    </row>
    <row r="776">
      <c r="B776" s="9"/>
      <c r="H776" s="14"/>
      <c r="J776" s="14"/>
      <c r="N776" s="9"/>
      <c r="P776" s="9"/>
      <c r="U776" s="14"/>
      <c r="V776" s="9"/>
    </row>
    <row r="777">
      <c r="B777" s="9"/>
      <c r="H777" s="14"/>
      <c r="J777" s="14"/>
      <c r="N777" s="9"/>
      <c r="P777" s="9"/>
      <c r="U777" s="14"/>
      <c r="V777" s="9"/>
    </row>
    <row r="778">
      <c r="B778" s="9"/>
      <c r="H778" s="14"/>
      <c r="J778" s="14"/>
      <c r="N778" s="9"/>
      <c r="P778" s="9"/>
      <c r="U778" s="14"/>
      <c r="V778" s="9"/>
    </row>
    <row r="779">
      <c r="B779" s="9"/>
      <c r="H779" s="14"/>
      <c r="J779" s="14"/>
      <c r="N779" s="9"/>
      <c r="P779" s="9"/>
      <c r="U779" s="14"/>
      <c r="V779" s="9"/>
    </row>
    <row r="780">
      <c r="B780" s="9"/>
      <c r="H780" s="14"/>
      <c r="J780" s="14"/>
      <c r="N780" s="9"/>
      <c r="P780" s="9"/>
      <c r="U780" s="14"/>
      <c r="V780" s="9"/>
    </row>
    <row r="781">
      <c r="B781" s="9"/>
      <c r="H781" s="14"/>
      <c r="J781" s="14"/>
      <c r="N781" s="9"/>
      <c r="P781" s="9"/>
      <c r="U781" s="14"/>
      <c r="V781" s="9"/>
    </row>
    <row r="782">
      <c r="B782" s="9"/>
      <c r="H782" s="14"/>
      <c r="J782" s="14"/>
      <c r="N782" s="9"/>
      <c r="P782" s="9"/>
      <c r="U782" s="14"/>
      <c r="V782" s="9"/>
    </row>
    <row r="783">
      <c r="B783" s="9"/>
      <c r="H783" s="14"/>
      <c r="J783" s="14"/>
      <c r="N783" s="9"/>
      <c r="P783" s="9"/>
      <c r="U783" s="14"/>
      <c r="V783" s="9"/>
    </row>
    <row r="784">
      <c r="B784" s="9"/>
      <c r="H784" s="14"/>
      <c r="J784" s="14"/>
      <c r="N784" s="9"/>
      <c r="P784" s="9"/>
      <c r="U784" s="14"/>
      <c r="V784" s="9"/>
    </row>
    <row r="785">
      <c r="B785" s="9"/>
      <c r="H785" s="14"/>
      <c r="J785" s="14"/>
      <c r="N785" s="9"/>
      <c r="P785" s="9"/>
      <c r="U785" s="14"/>
      <c r="V785" s="9"/>
    </row>
    <row r="786">
      <c r="B786" s="9"/>
      <c r="H786" s="14"/>
      <c r="J786" s="14"/>
      <c r="N786" s="9"/>
      <c r="P786" s="9"/>
      <c r="U786" s="14"/>
      <c r="V786" s="9"/>
    </row>
    <row r="787">
      <c r="B787" s="9"/>
      <c r="H787" s="14"/>
      <c r="J787" s="14"/>
      <c r="N787" s="9"/>
      <c r="P787" s="9"/>
      <c r="U787" s="14"/>
      <c r="V787" s="9"/>
    </row>
    <row r="788">
      <c r="B788" s="9"/>
      <c r="H788" s="14"/>
      <c r="J788" s="14"/>
      <c r="N788" s="9"/>
      <c r="P788" s="9"/>
      <c r="U788" s="14"/>
      <c r="V788" s="9"/>
    </row>
    <row r="789">
      <c r="B789" s="9"/>
      <c r="H789" s="14"/>
      <c r="J789" s="14"/>
      <c r="N789" s="9"/>
      <c r="P789" s="9"/>
      <c r="U789" s="14"/>
      <c r="V789" s="9"/>
    </row>
    <row r="790">
      <c r="B790" s="9"/>
      <c r="H790" s="14"/>
      <c r="J790" s="14"/>
      <c r="N790" s="9"/>
      <c r="P790" s="9"/>
      <c r="U790" s="14"/>
      <c r="V790" s="9"/>
    </row>
    <row r="791">
      <c r="B791" s="9"/>
      <c r="H791" s="14"/>
      <c r="J791" s="14"/>
      <c r="N791" s="9"/>
      <c r="P791" s="9"/>
      <c r="U791" s="14"/>
      <c r="V791" s="9"/>
    </row>
    <row r="792">
      <c r="B792" s="9"/>
      <c r="H792" s="14"/>
      <c r="J792" s="14"/>
      <c r="N792" s="9"/>
      <c r="P792" s="9"/>
      <c r="U792" s="14"/>
      <c r="V792" s="9"/>
    </row>
    <row r="793">
      <c r="B793" s="9"/>
      <c r="H793" s="14"/>
      <c r="J793" s="14"/>
      <c r="N793" s="9"/>
      <c r="P793" s="9"/>
      <c r="U793" s="14"/>
      <c r="V793" s="9"/>
    </row>
    <row r="794">
      <c r="B794" s="9"/>
      <c r="H794" s="14"/>
      <c r="J794" s="14"/>
      <c r="N794" s="9"/>
      <c r="P794" s="9"/>
      <c r="U794" s="14"/>
      <c r="V794" s="9"/>
    </row>
    <row r="795">
      <c r="B795" s="9"/>
      <c r="H795" s="14"/>
      <c r="J795" s="14"/>
      <c r="N795" s="9"/>
      <c r="P795" s="9"/>
      <c r="U795" s="14"/>
      <c r="V795" s="9"/>
    </row>
    <row r="796">
      <c r="B796" s="9"/>
      <c r="H796" s="14"/>
      <c r="J796" s="14"/>
      <c r="N796" s="9"/>
      <c r="P796" s="9"/>
      <c r="U796" s="14"/>
      <c r="V796" s="9"/>
    </row>
    <row r="797">
      <c r="B797" s="9"/>
      <c r="H797" s="14"/>
      <c r="J797" s="14"/>
      <c r="N797" s="9"/>
      <c r="P797" s="9"/>
      <c r="U797" s="14"/>
      <c r="V797" s="9"/>
    </row>
    <row r="798">
      <c r="B798" s="9"/>
      <c r="H798" s="14"/>
      <c r="J798" s="14"/>
      <c r="N798" s="9"/>
      <c r="P798" s="9"/>
      <c r="U798" s="14"/>
      <c r="V798" s="9"/>
    </row>
    <row r="799">
      <c r="B799" s="9"/>
      <c r="H799" s="14"/>
      <c r="J799" s="14"/>
      <c r="N799" s="9"/>
      <c r="P799" s="9"/>
      <c r="U799" s="14"/>
      <c r="V799" s="9"/>
    </row>
    <row r="800">
      <c r="B800" s="9"/>
      <c r="H800" s="14"/>
      <c r="J800" s="14"/>
      <c r="N800" s="9"/>
      <c r="P800" s="9"/>
      <c r="U800" s="14"/>
      <c r="V800" s="9"/>
    </row>
    <row r="801">
      <c r="B801" s="9"/>
      <c r="H801" s="14"/>
      <c r="J801" s="14"/>
      <c r="N801" s="9"/>
      <c r="P801" s="9"/>
      <c r="U801" s="14"/>
      <c r="V801" s="9"/>
    </row>
    <row r="802">
      <c r="B802" s="9"/>
      <c r="H802" s="14"/>
      <c r="J802" s="14"/>
      <c r="N802" s="9"/>
      <c r="P802" s="9"/>
      <c r="U802" s="14"/>
      <c r="V802" s="9"/>
    </row>
    <row r="803">
      <c r="B803" s="9"/>
      <c r="H803" s="14"/>
      <c r="J803" s="14"/>
      <c r="N803" s="9"/>
      <c r="P803" s="9"/>
      <c r="U803" s="14"/>
      <c r="V803" s="9"/>
    </row>
    <row r="804">
      <c r="B804" s="9"/>
      <c r="H804" s="14"/>
      <c r="J804" s="14"/>
      <c r="N804" s="9"/>
      <c r="P804" s="9"/>
      <c r="U804" s="14"/>
      <c r="V804" s="9"/>
    </row>
    <row r="805">
      <c r="B805" s="9"/>
      <c r="H805" s="14"/>
      <c r="J805" s="14"/>
      <c r="N805" s="9"/>
      <c r="P805" s="9"/>
      <c r="U805" s="14"/>
      <c r="V805" s="9"/>
    </row>
    <row r="806">
      <c r="B806" s="9"/>
      <c r="H806" s="14"/>
      <c r="J806" s="14"/>
      <c r="N806" s="9"/>
      <c r="P806" s="9"/>
      <c r="U806" s="14"/>
      <c r="V806" s="9"/>
    </row>
    <row r="807">
      <c r="B807" s="9"/>
      <c r="H807" s="14"/>
      <c r="J807" s="14"/>
      <c r="N807" s="9"/>
      <c r="P807" s="9"/>
      <c r="U807" s="14"/>
      <c r="V807" s="9"/>
    </row>
    <row r="808">
      <c r="B808" s="9"/>
      <c r="H808" s="14"/>
      <c r="J808" s="14"/>
      <c r="N808" s="9"/>
      <c r="P808" s="9"/>
      <c r="U808" s="14"/>
      <c r="V808" s="9"/>
    </row>
    <row r="809">
      <c r="B809" s="9"/>
      <c r="H809" s="14"/>
      <c r="J809" s="14"/>
      <c r="N809" s="9"/>
      <c r="P809" s="9"/>
      <c r="U809" s="14"/>
      <c r="V809" s="9"/>
    </row>
    <row r="810">
      <c r="B810" s="9"/>
      <c r="H810" s="14"/>
      <c r="J810" s="14"/>
      <c r="N810" s="9"/>
      <c r="P810" s="9"/>
      <c r="U810" s="14"/>
      <c r="V810" s="9"/>
    </row>
    <row r="811">
      <c r="B811" s="9"/>
      <c r="H811" s="14"/>
      <c r="J811" s="14"/>
      <c r="N811" s="9"/>
      <c r="P811" s="9"/>
      <c r="U811" s="14"/>
      <c r="V811" s="9"/>
    </row>
    <row r="812">
      <c r="B812" s="9"/>
      <c r="H812" s="14"/>
      <c r="J812" s="14"/>
      <c r="N812" s="9"/>
      <c r="P812" s="9"/>
      <c r="U812" s="14"/>
      <c r="V812" s="9"/>
    </row>
    <row r="813">
      <c r="B813" s="9"/>
      <c r="H813" s="14"/>
      <c r="J813" s="14"/>
      <c r="N813" s="9"/>
      <c r="P813" s="9"/>
      <c r="U813" s="14"/>
      <c r="V813" s="9"/>
    </row>
    <row r="814">
      <c r="B814" s="9"/>
      <c r="H814" s="14"/>
      <c r="J814" s="14"/>
      <c r="N814" s="9"/>
      <c r="P814" s="9"/>
      <c r="U814" s="14"/>
      <c r="V814" s="9"/>
    </row>
    <row r="815">
      <c r="B815" s="9"/>
      <c r="H815" s="14"/>
      <c r="J815" s="14"/>
      <c r="N815" s="9"/>
      <c r="P815" s="9"/>
      <c r="U815" s="14"/>
      <c r="V815" s="9"/>
    </row>
    <row r="816">
      <c r="B816" s="9"/>
      <c r="H816" s="14"/>
      <c r="J816" s="14"/>
      <c r="N816" s="9"/>
      <c r="P816" s="9"/>
      <c r="U816" s="14"/>
      <c r="V816" s="9"/>
    </row>
    <row r="817">
      <c r="B817" s="9"/>
      <c r="H817" s="14"/>
      <c r="J817" s="14"/>
      <c r="N817" s="9"/>
      <c r="P817" s="9"/>
      <c r="U817" s="14"/>
      <c r="V817" s="9"/>
    </row>
    <row r="818">
      <c r="B818" s="9"/>
      <c r="H818" s="14"/>
      <c r="J818" s="14"/>
      <c r="N818" s="9"/>
      <c r="P818" s="9"/>
      <c r="U818" s="14"/>
      <c r="V818" s="9"/>
    </row>
    <row r="819">
      <c r="B819" s="9"/>
      <c r="H819" s="14"/>
      <c r="J819" s="14"/>
      <c r="N819" s="9"/>
      <c r="P819" s="9"/>
      <c r="U819" s="14"/>
      <c r="V819" s="9"/>
    </row>
    <row r="820">
      <c r="B820" s="9"/>
      <c r="H820" s="14"/>
      <c r="J820" s="14"/>
      <c r="N820" s="9"/>
      <c r="P820" s="9"/>
      <c r="U820" s="14"/>
      <c r="V820" s="9"/>
    </row>
    <row r="821">
      <c r="B821" s="9"/>
      <c r="H821" s="14"/>
      <c r="J821" s="14"/>
      <c r="N821" s="9"/>
      <c r="P821" s="9"/>
      <c r="U821" s="14"/>
      <c r="V821" s="9"/>
    </row>
    <row r="822">
      <c r="B822" s="9"/>
      <c r="H822" s="14"/>
      <c r="J822" s="14"/>
      <c r="N822" s="9"/>
      <c r="P822" s="9"/>
      <c r="U822" s="14"/>
      <c r="V822" s="9"/>
    </row>
    <row r="823">
      <c r="B823" s="9"/>
      <c r="H823" s="14"/>
      <c r="J823" s="14"/>
      <c r="N823" s="9"/>
      <c r="P823" s="9"/>
      <c r="U823" s="14"/>
      <c r="V823" s="9"/>
    </row>
    <row r="824">
      <c r="B824" s="9"/>
      <c r="H824" s="14"/>
      <c r="J824" s="14"/>
      <c r="N824" s="9"/>
      <c r="P824" s="9"/>
      <c r="U824" s="14"/>
      <c r="V824" s="9"/>
    </row>
    <row r="825">
      <c r="B825" s="9"/>
      <c r="H825" s="14"/>
      <c r="J825" s="14"/>
      <c r="N825" s="9"/>
      <c r="P825" s="9"/>
      <c r="U825" s="14"/>
      <c r="V825" s="9"/>
    </row>
    <row r="826">
      <c r="B826" s="9"/>
      <c r="H826" s="14"/>
      <c r="J826" s="14"/>
      <c r="N826" s="9"/>
      <c r="P826" s="9"/>
      <c r="U826" s="14"/>
      <c r="V826" s="9"/>
    </row>
    <row r="827">
      <c r="B827" s="9"/>
      <c r="H827" s="14"/>
      <c r="J827" s="14"/>
      <c r="N827" s="9"/>
      <c r="P827" s="9"/>
      <c r="U827" s="14"/>
      <c r="V827" s="9"/>
    </row>
    <row r="828">
      <c r="B828" s="9"/>
      <c r="H828" s="14"/>
      <c r="J828" s="14"/>
      <c r="N828" s="9"/>
      <c r="P828" s="9"/>
      <c r="U828" s="14"/>
      <c r="V828" s="9"/>
    </row>
    <row r="829">
      <c r="B829" s="9"/>
      <c r="H829" s="14"/>
      <c r="J829" s="14"/>
      <c r="N829" s="9"/>
      <c r="P829" s="9"/>
      <c r="U829" s="14"/>
      <c r="V829" s="9"/>
    </row>
    <row r="830">
      <c r="B830" s="9"/>
      <c r="H830" s="14"/>
      <c r="J830" s="14"/>
      <c r="N830" s="9"/>
      <c r="P830" s="9"/>
      <c r="U830" s="14"/>
      <c r="V830" s="9"/>
    </row>
    <row r="831">
      <c r="B831" s="9"/>
      <c r="H831" s="14"/>
      <c r="J831" s="14"/>
      <c r="N831" s="9"/>
      <c r="P831" s="9"/>
      <c r="U831" s="14"/>
      <c r="V831" s="9"/>
    </row>
    <row r="832">
      <c r="B832" s="9"/>
      <c r="H832" s="14"/>
      <c r="J832" s="14"/>
      <c r="N832" s="9"/>
      <c r="P832" s="9"/>
      <c r="U832" s="14"/>
      <c r="V832" s="9"/>
    </row>
    <row r="833">
      <c r="B833" s="9"/>
      <c r="H833" s="14"/>
      <c r="J833" s="14"/>
      <c r="N833" s="9"/>
      <c r="P833" s="9"/>
      <c r="U833" s="14"/>
      <c r="V833" s="9"/>
    </row>
    <row r="834">
      <c r="B834" s="9"/>
      <c r="H834" s="14"/>
      <c r="J834" s="14"/>
      <c r="N834" s="9"/>
      <c r="P834" s="9"/>
      <c r="U834" s="14"/>
      <c r="V834" s="9"/>
    </row>
    <row r="835">
      <c r="B835" s="9"/>
      <c r="H835" s="14"/>
      <c r="J835" s="14"/>
      <c r="N835" s="9"/>
      <c r="P835" s="9"/>
      <c r="U835" s="14"/>
      <c r="V835" s="9"/>
    </row>
    <row r="836">
      <c r="B836" s="9"/>
      <c r="H836" s="14"/>
      <c r="J836" s="14"/>
      <c r="N836" s="9"/>
      <c r="P836" s="9"/>
      <c r="U836" s="14"/>
      <c r="V836" s="9"/>
    </row>
    <row r="837">
      <c r="B837" s="9"/>
      <c r="H837" s="14"/>
      <c r="J837" s="14"/>
      <c r="N837" s="9"/>
      <c r="P837" s="9"/>
      <c r="U837" s="14"/>
      <c r="V837" s="9"/>
    </row>
    <row r="838">
      <c r="B838" s="9"/>
      <c r="H838" s="14"/>
      <c r="J838" s="14"/>
      <c r="N838" s="9"/>
      <c r="P838" s="9"/>
      <c r="U838" s="14"/>
      <c r="V838" s="9"/>
    </row>
    <row r="839">
      <c r="B839" s="9"/>
      <c r="H839" s="14"/>
      <c r="J839" s="14"/>
      <c r="N839" s="9"/>
      <c r="P839" s="9"/>
      <c r="U839" s="14"/>
      <c r="V839" s="9"/>
    </row>
    <row r="840">
      <c r="B840" s="9"/>
      <c r="H840" s="14"/>
      <c r="J840" s="14"/>
      <c r="N840" s="9"/>
      <c r="P840" s="9"/>
      <c r="U840" s="14"/>
      <c r="V840" s="9"/>
    </row>
    <row r="841">
      <c r="B841" s="9"/>
      <c r="H841" s="14"/>
      <c r="J841" s="14"/>
      <c r="N841" s="9"/>
      <c r="P841" s="9"/>
      <c r="U841" s="14"/>
      <c r="V841" s="9"/>
    </row>
    <row r="842">
      <c r="B842" s="9"/>
      <c r="H842" s="14"/>
      <c r="J842" s="14"/>
      <c r="N842" s="9"/>
      <c r="P842" s="9"/>
      <c r="U842" s="14"/>
      <c r="V842" s="9"/>
    </row>
    <row r="843">
      <c r="B843" s="9"/>
      <c r="H843" s="14"/>
      <c r="J843" s="14"/>
      <c r="N843" s="9"/>
      <c r="P843" s="9"/>
      <c r="U843" s="14"/>
      <c r="V843" s="9"/>
    </row>
    <row r="844">
      <c r="B844" s="9"/>
      <c r="H844" s="14"/>
      <c r="J844" s="14"/>
      <c r="N844" s="9"/>
      <c r="P844" s="9"/>
      <c r="U844" s="14"/>
      <c r="V844" s="9"/>
    </row>
    <row r="845">
      <c r="B845" s="9"/>
      <c r="H845" s="14"/>
      <c r="J845" s="14"/>
      <c r="N845" s="9"/>
      <c r="P845" s="9"/>
      <c r="U845" s="14"/>
      <c r="V845" s="9"/>
    </row>
    <row r="846">
      <c r="B846" s="9"/>
      <c r="H846" s="14"/>
      <c r="J846" s="14"/>
      <c r="N846" s="9"/>
      <c r="P846" s="9"/>
      <c r="U846" s="14"/>
      <c r="V846" s="9"/>
    </row>
    <row r="847">
      <c r="B847" s="9"/>
      <c r="H847" s="14"/>
      <c r="J847" s="14"/>
      <c r="N847" s="9"/>
      <c r="P847" s="9"/>
      <c r="U847" s="14"/>
      <c r="V847" s="9"/>
    </row>
    <row r="848">
      <c r="B848" s="9"/>
      <c r="H848" s="14"/>
      <c r="J848" s="14"/>
      <c r="N848" s="9"/>
      <c r="P848" s="9"/>
      <c r="U848" s="14"/>
      <c r="V848" s="9"/>
    </row>
    <row r="849">
      <c r="B849" s="9"/>
      <c r="H849" s="14"/>
      <c r="J849" s="14"/>
      <c r="N849" s="9"/>
      <c r="P849" s="9"/>
      <c r="U849" s="14"/>
      <c r="V849" s="9"/>
    </row>
    <row r="850">
      <c r="B850" s="9"/>
      <c r="H850" s="14"/>
      <c r="J850" s="14"/>
      <c r="N850" s="9"/>
      <c r="P850" s="9"/>
      <c r="U850" s="14"/>
      <c r="V850" s="9"/>
    </row>
    <row r="851">
      <c r="B851" s="9"/>
      <c r="H851" s="14"/>
      <c r="J851" s="14"/>
      <c r="N851" s="9"/>
      <c r="P851" s="9"/>
      <c r="U851" s="14"/>
      <c r="V851" s="9"/>
    </row>
    <row r="852">
      <c r="B852" s="9"/>
      <c r="H852" s="14"/>
      <c r="J852" s="14"/>
      <c r="N852" s="9"/>
      <c r="P852" s="9"/>
      <c r="U852" s="14"/>
      <c r="V852" s="9"/>
    </row>
    <row r="853">
      <c r="B853" s="9"/>
      <c r="H853" s="14"/>
      <c r="J853" s="14"/>
      <c r="N853" s="9"/>
      <c r="P853" s="9"/>
      <c r="U853" s="14"/>
      <c r="V853" s="9"/>
    </row>
    <row r="854">
      <c r="B854" s="9"/>
      <c r="H854" s="14"/>
      <c r="J854" s="14"/>
      <c r="N854" s="9"/>
      <c r="P854" s="9"/>
      <c r="U854" s="14"/>
      <c r="V854" s="9"/>
    </row>
    <row r="855">
      <c r="B855" s="9"/>
      <c r="H855" s="14"/>
      <c r="J855" s="14"/>
      <c r="N855" s="9"/>
      <c r="P855" s="9"/>
      <c r="U855" s="14"/>
      <c r="V855" s="9"/>
    </row>
    <row r="856">
      <c r="B856" s="9"/>
      <c r="H856" s="14"/>
      <c r="J856" s="14"/>
      <c r="N856" s="9"/>
      <c r="P856" s="9"/>
      <c r="U856" s="14"/>
      <c r="V856" s="9"/>
    </row>
    <row r="857">
      <c r="B857" s="9"/>
      <c r="H857" s="14"/>
      <c r="J857" s="14"/>
      <c r="N857" s="9"/>
      <c r="P857" s="9"/>
      <c r="U857" s="14"/>
      <c r="V857" s="9"/>
    </row>
    <row r="858">
      <c r="B858" s="9"/>
      <c r="H858" s="14"/>
      <c r="J858" s="14"/>
      <c r="N858" s="9"/>
      <c r="P858" s="9"/>
      <c r="U858" s="14"/>
      <c r="V858" s="9"/>
    </row>
    <row r="859">
      <c r="B859" s="9"/>
      <c r="H859" s="14"/>
      <c r="J859" s="14"/>
      <c r="N859" s="9"/>
      <c r="P859" s="9"/>
      <c r="U859" s="14"/>
      <c r="V859" s="9"/>
    </row>
    <row r="860">
      <c r="B860" s="9"/>
      <c r="H860" s="14"/>
      <c r="J860" s="14"/>
      <c r="N860" s="9"/>
      <c r="P860" s="9"/>
      <c r="U860" s="14"/>
      <c r="V860" s="9"/>
    </row>
    <row r="861">
      <c r="B861" s="9"/>
      <c r="H861" s="14"/>
      <c r="J861" s="14"/>
      <c r="N861" s="9"/>
      <c r="P861" s="9"/>
      <c r="U861" s="14"/>
      <c r="V861" s="9"/>
    </row>
    <row r="862">
      <c r="B862" s="9"/>
      <c r="H862" s="14"/>
      <c r="J862" s="14"/>
      <c r="N862" s="9"/>
      <c r="P862" s="9"/>
      <c r="U862" s="14"/>
      <c r="V862" s="9"/>
    </row>
    <row r="863">
      <c r="B863" s="9"/>
      <c r="H863" s="14"/>
      <c r="J863" s="14"/>
      <c r="N863" s="9"/>
      <c r="P863" s="9"/>
      <c r="U863" s="14"/>
      <c r="V863" s="9"/>
    </row>
    <row r="864">
      <c r="B864" s="9"/>
      <c r="H864" s="14"/>
      <c r="J864" s="14"/>
      <c r="N864" s="9"/>
      <c r="P864" s="9"/>
      <c r="U864" s="14"/>
      <c r="V864" s="9"/>
    </row>
    <row r="865">
      <c r="B865" s="9"/>
      <c r="H865" s="14"/>
      <c r="J865" s="14"/>
      <c r="N865" s="9"/>
      <c r="P865" s="9"/>
      <c r="U865" s="14"/>
      <c r="V865" s="9"/>
    </row>
    <row r="866">
      <c r="B866" s="9"/>
      <c r="H866" s="14"/>
      <c r="J866" s="14"/>
      <c r="N866" s="9"/>
      <c r="P866" s="9"/>
      <c r="U866" s="14"/>
      <c r="V866" s="9"/>
    </row>
    <row r="867">
      <c r="B867" s="9"/>
      <c r="H867" s="14"/>
      <c r="J867" s="14"/>
      <c r="N867" s="9"/>
      <c r="P867" s="9"/>
      <c r="U867" s="14"/>
      <c r="V867" s="9"/>
    </row>
    <row r="868">
      <c r="B868" s="9"/>
      <c r="H868" s="14"/>
      <c r="J868" s="14"/>
      <c r="N868" s="9"/>
      <c r="P868" s="9"/>
      <c r="U868" s="14"/>
      <c r="V868" s="9"/>
    </row>
    <row r="869">
      <c r="B869" s="9"/>
      <c r="H869" s="14"/>
      <c r="J869" s="14"/>
      <c r="N869" s="9"/>
      <c r="P869" s="9"/>
      <c r="U869" s="14"/>
      <c r="V869" s="9"/>
    </row>
    <row r="870">
      <c r="B870" s="9"/>
      <c r="H870" s="14"/>
      <c r="J870" s="14"/>
      <c r="N870" s="9"/>
      <c r="P870" s="9"/>
      <c r="U870" s="14"/>
      <c r="V870" s="9"/>
    </row>
    <row r="871">
      <c r="B871" s="9"/>
      <c r="H871" s="14"/>
      <c r="J871" s="14"/>
      <c r="N871" s="9"/>
      <c r="P871" s="9"/>
      <c r="U871" s="14"/>
      <c r="V871" s="9"/>
    </row>
    <row r="872">
      <c r="B872" s="9"/>
      <c r="H872" s="14"/>
      <c r="J872" s="14"/>
      <c r="N872" s="9"/>
      <c r="P872" s="9"/>
      <c r="U872" s="14"/>
      <c r="V872" s="9"/>
    </row>
    <row r="873">
      <c r="B873" s="9"/>
      <c r="H873" s="14"/>
      <c r="J873" s="14"/>
      <c r="N873" s="9"/>
      <c r="P873" s="9"/>
      <c r="U873" s="14"/>
      <c r="V873" s="9"/>
    </row>
    <row r="874">
      <c r="B874" s="9"/>
      <c r="H874" s="14"/>
      <c r="J874" s="14"/>
      <c r="N874" s="9"/>
      <c r="P874" s="9"/>
      <c r="U874" s="14"/>
      <c r="V874" s="9"/>
    </row>
    <row r="875">
      <c r="B875" s="9"/>
      <c r="H875" s="14"/>
      <c r="J875" s="14"/>
      <c r="N875" s="9"/>
      <c r="P875" s="9"/>
      <c r="U875" s="14"/>
      <c r="V875" s="9"/>
    </row>
    <row r="876">
      <c r="B876" s="9"/>
      <c r="H876" s="14"/>
      <c r="J876" s="14"/>
      <c r="N876" s="9"/>
      <c r="P876" s="9"/>
      <c r="U876" s="14"/>
      <c r="V876" s="9"/>
    </row>
    <row r="877">
      <c r="B877" s="9"/>
      <c r="H877" s="14"/>
      <c r="J877" s="14"/>
      <c r="N877" s="9"/>
      <c r="P877" s="9"/>
      <c r="U877" s="14"/>
      <c r="V877" s="9"/>
    </row>
    <row r="878">
      <c r="B878" s="9"/>
      <c r="H878" s="14"/>
      <c r="J878" s="14"/>
      <c r="N878" s="9"/>
      <c r="P878" s="9"/>
      <c r="U878" s="14"/>
      <c r="V878" s="9"/>
    </row>
    <row r="879">
      <c r="B879" s="9"/>
      <c r="H879" s="14"/>
      <c r="J879" s="14"/>
      <c r="N879" s="9"/>
      <c r="P879" s="9"/>
      <c r="U879" s="14"/>
      <c r="V879" s="9"/>
    </row>
    <row r="880">
      <c r="B880" s="9"/>
      <c r="H880" s="14"/>
      <c r="J880" s="14"/>
      <c r="N880" s="9"/>
      <c r="P880" s="9"/>
      <c r="U880" s="14"/>
      <c r="V880" s="9"/>
    </row>
    <row r="881">
      <c r="B881" s="9"/>
      <c r="H881" s="14"/>
      <c r="J881" s="14"/>
      <c r="N881" s="9"/>
      <c r="P881" s="9"/>
      <c r="U881" s="14"/>
      <c r="V881" s="9"/>
    </row>
    <row r="882">
      <c r="B882" s="9"/>
      <c r="H882" s="14"/>
      <c r="J882" s="14"/>
      <c r="N882" s="9"/>
      <c r="P882" s="9"/>
      <c r="U882" s="14"/>
      <c r="V882" s="9"/>
    </row>
    <row r="883">
      <c r="B883" s="9"/>
      <c r="H883" s="14"/>
      <c r="J883" s="14"/>
      <c r="N883" s="9"/>
      <c r="P883" s="9"/>
      <c r="U883" s="14"/>
      <c r="V883" s="9"/>
    </row>
    <row r="884">
      <c r="B884" s="9"/>
      <c r="H884" s="14"/>
      <c r="J884" s="14"/>
      <c r="N884" s="9"/>
      <c r="P884" s="9"/>
      <c r="U884" s="14"/>
      <c r="V884" s="9"/>
    </row>
    <row r="885">
      <c r="B885" s="9"/>
      <c r="H885" s="14"/>
      <c r="J885" s="14"/>
      <c r="N885" s="9"/>
      <c r="P885" s="9"/>
      <c r="U885" s="14"/>
      <c r="V885" s="9"/>
    </row>
    <row r="886">
      <c r="B886" s="9"/>
      <c r="H886" s="14"/>
      <c r="J886" s="14"/>
      <c r="N886" s="9"/>
      <c r="P886" s="9"/>
      <c r="U886" s="14"/>
      <c r="V886" s="9"/>
    </row>
    <row r="887">
      <c r="B887" s="9"/>
      <c r="H887" s="14"/>
      <c r="J887" s="14"/>
      <c r="N887" s="9"/>
      <c r="P887" s="9"/>
      <c r="U887" s="14"/>
      <c r="V887" s="9"/>
    </row>
    <row r="888">
      <c r="B888" s="9"/>
      <c r="H888" s="14"/>
      <c r="J888" s="14"/>
      <c r="N888" s="9"/>
      <c r="P888" s="9"/>
      <c r="U888" s="14"/>
      <c r="V888" s="9"/>
    </row>
    <row r="889">
      <c r="B889" s="9"/>
      <c r="H889" s="14"/>
      <c r="J889" s="14"/>
      <c r="N889" s="9"/>
      <c r="P889" s="9"/>
      <c r="U889" s="14"/>
      <c r="V889" s="9"/>
    </row>
    <row r="890">
      <c r="B890" s="9"/>
      <c r="H890" s="14"/>
      <c r="J890" s="14"/>
      <c r="N890" s="9"/>
      <c r="P890" s="9"/>
      <c r="U890" s="14"/>
      <c r="V890" s="9"/>
    </row>
    <row r="891">
      <c r="B891" s="9"/>
      <c r="H891" s="14"/>
      <c r="J891" s="14"/>
      <c r="N891" s="9"/>
      <c r="P891" s="9"/>
      <c r="U891" s="14"/>
      <c r="V891" s="9"/>
    </row>
    <row r="892">
      <c r="B892" s="9"/>
      <c r="H892" s="14"/>
      <c r="J892" s="14"/>
      <c r="N892" s="9"/>
      <c r="P892" s="9"/>
      <c r="U892" s="14"/>
      <c r="V892" s="9"/>
    </row>
    <row r="893">
      <c r="B893" s="9"/>
      <c r="H893" s="14"/>
      <c r="J893" s="14"/>
      <c r="N893" s="9"/>
      <c r="P893" s="9"/>
      <c r="U893" s="14"/>
      <c r="V893" s="9"/>
    </row>
    <row r="894">
      <c r="B894" s="9"/>
      <c r="H894" s="14"/>
      <c r="J894" s="14"/>
      <c r="N894" s="9"/>
      <c r="P894" s="9"/>
      <c r="U894" s="14"/>
      <c r="V894" s="9"/>
    </row>
    <row r="895">
      <c r="B895" s="9"/>
      <c r="H895" s="14"/>
      <c r="J895" s="14"/>
      <c r="N895" s="9"/>
      <c r="P895" s="9"/>
      <c r="U895" s="14"/>
      <c r="V895" s="9"/>
    </row>
    <row r="896">
      <c r="B896" s="9"/>
      <c r="H896" s="14"/>
      <c r="J896" s="14"/>
      <c r="N896" s="9"/>
      <c r="P896" s="9"/>
      <c r="U896" s="14"/>
      <c r="V896" s="9"/>
    </row>
    <row r="897">
      <c r="B897" s="9"/>
      <c r="H897" s="14"/>
      <c r="J897" s="14"/>
      <c r="N897" s="9"/>
      <c r="P897" s="9"/>
      <c r="U897" s="14"/>
      <c r="V897" s="9"/>
    </row>
    <row r="898">
      <c r="B898" s="9"/>
      <c r="H898" s="14"/>
      <c r="J898" s="14"/>
      <c r="N898" s="9"/>
      <c r="P898" s="9"/>
      <c r="U898" s="14"/>
      <c r="V898" s="9"/>
    </row>
    <row r="899">
      <c r="B899" s="9"/>
      <c r="H899" s="14"/>
      <c r="J899" s="14"/>
      <c r="N899" s="9"/>
      <c r="P899" s="9"/>
      <c r="U899" s="14"/>
      <c r="V899" s="9"/>
    </row>
    <row r="900">
      <c r="B900" s="9"/>
      <c r="H900" s="14"/>
      <c r="J900" s="14"/>
      <c r="N900" s="9"/>
      <c r="P900" s="9"/>
      <c r="U900" s="14"/>
      <c r="V900" s="9"/>
    </row>
    <row r="901">
      <c r="B901" s="9"/>
      <c r="H901" s="14"/>
      <c r="J901" s="14"/>
      <c r="N901" s="9"/>
      <c r="P901" s="9"/>
      <c r="U901" s="14"/>
      <c r="V901" s="9"/>
    </row>
    <row r="902">
      <c r="B902" s="9"/>
      <c r="H902" s="14"/>
      <c r="J902" s="14"/>
      <c r="N902" s="9"/>
      <c r="P902" s="9"/>
      <c r="U902" s="14"/>
      <c r="V902" s="9"/>
    </row>
    <row r="903">
      <c r="B903" s="9"/>
      <c r="H903" s="14"/>
      <c r="J903" s="14"/>
      <c r="N903" s="9"/>
      <c r="P903" s="9"/>
      <c r="U903" s="14"/>
      <c r="V903" s="9"/>
    </row>
    <row r="904">
      <c r="B904" s="9"/>
      <c r="H904" s="14"/>
      <c r="J904" s="14"/>
      <c r="N904" s="9"/>
      <c r="P904" s="9"/>
      <c r="U904" s="14"/>
      <c r="V904" s="9"/>
    </row>
    <row r="905">
      <c r="B905" s="9"/>
      <c r="H905" s="14"/>
      <c r="J905" s="14"/>
      <c r="N905" s="9"/>
      <c r="P905" s="9"/>
      <c r="U905" s="14"/>
      <c r="V905" s="9"/>
    </row>
    <row r="906">
      <c r="B906" s="9"/>
      <c r="H906" s="14"/>
      <c r="J906" s="14"/>
      <c r="N906" s="9"/>
      <c r="P906" s="9"/>
      <c r="U906" s="14"/>
      <c r="V906" s="9"/>
    </row>
    <row r="907">
      <c r="B907" s="9"/>
      <c r="H907" s="14"/>
      <c r="J907" s="14"/>
      <c r="N907" s="9"/>
      <c r="P907" s="9"/>
      <c r="U907" s="14"/>
      <c r="V907" s="9"/>
    </row>
    <row r="908">
      <c r="B908" s="9"/>
      <c r="H908" s="14"/>
      <c r="J908" s="14"/>
      <c r="N908" s="9"/>
      <c r="P908" s="9"/>
      <c r="U908" s="14"/>
      <c r="V908" s="9"/>
    </row>
    <row r="909">
      <c r="B909" s="9"/>
      <c r="H909" s="14"/>
      <c r="J909" s="14"/>
      <c r="N909" s="9"/>
      <c r="P909" s="9"/>
      <c r="U909" s="14"/>
      <c r="V909" s="9"/>
    </row>
    <row r="910">
      <c r="B910" s="9"/>
      <c r="H910" s="14"/>
      <c r="J910" s="14"/>
      <c r="N910" s="9"/>
      <c r="P910" s="9"/>
      <c r="U910" s="14"/>
      <c r="V910" s="9"/>
    </row>
    <row r="911">
      <c r="B911" s="9"/>
      <c r="H911" s="14"/>
      <c r="J911" s="14"/>
      <c r="N911" s="9"/>
      <c r="P911" s="9"/>
      <c r="U911" s="14"/>
      <c r="V911" s="9"/>
    </row>
    <row r="912">
      <c r="B912" s="9"/>
      <c r="H912" s="14"/>
      <c r="J912" s="14"/>
      <c r="N912" s="9"/>
      <c r="P912" s="9"/>
      <c r="U912" s="14"/>
      <c r="V912" s="9"/>
    </row>
    <row r="913">
      <c r="B913" s="9"/>
      <c r="H913" s="14"/>
      <c r="J913" s="14"/>
      <c r="N913" s="9"/>
      <c r="P913" s="9"/>
      <c r="U913" s="14"/>
      <c r="V913" s="9"/>
    </row>
    <row r="914">
      <c r="B914" s="9"/>
      <c r="H914" s="14"/>
      <c r="J914" s="14"/>
      <c r="N914" s="9"/>
      <c r="P914" s="9"/>
      <c r="U914" s="14"/>
      <c r="V914" s="9"/>
    </row>
    <row r="915">
      <c r="B915" s="9"/>
      <c r="H915" s="14"/>
      <c r="J915" s="14"/>
      <c r="N915" s="9"/>
      <c r="P915" s="9"/>
      <c r="U915" s="14"/>
      <c r="V915" s="9"/>
    </row>
    <row r="916">
      <c r="B916" s="9"/>
      <c r="H916" s="14"/>
      <c r="J916" s="14"/>
      <c r="N916" s="9"/>
      <c r="P916" s="9"/>
      <c r="U916" s="14"/>
      <c r="V916" s="9"/>
    </row>
    <row r="917">
      <c r="B917" s="9"/>
      <c r="H917" s="14"/>
      <c r="J917" s="14"/>
      <c r="N917" s="9"/>
      <c r="P917" s="9"/>
      <c r="U917" s="14"/>
      <c r="V917" s="9"/>
    </row>
    <row r="918">
      <c r="B918" s="9"/>
      <c r="H918" s="14"/>
      <c r="J918" s="14"/>
      <c r="N918" s="9"/>
      <c r="P918" s="9"/>
      <c r="U918" s="14"/>
      <c r="V918" s="9"/>
    </row>
    <row r="919">
      <c r="B919" s="9"/>
      <c r="H919" s="14"/>
      <c r="J919" s="14"/>
      <c r="N919" s="9"/>
      <c r="P919" s="9"/>
      <c r="U919" s="14"/>
      <c r="V919" s="9"/>
    </row>
    <row r="920">
      <c r="B920" s="9"/>
      <c r="H920" s="14"/>
      <c r="J920" s="14"/>
      <c r="N920" s="9"/>
      <c r="P920" s="9"/>
      <c r="U920" s="14"/>
      <c r="V920" s="9"/>
    </row>
    <row r="921">
      <c r="B921" s="9"/>
      <c r="H921" s="14"/>
      <c r="J921" s="14"/>
      <c r="N921" s="9"/>
      <c r="P921" s="9"/>
      <c r="U921" s="14"/>
      <c r="V921" s="9"/>
    </row>
    <row r="922">
      <c r="B922" s="9"/>
      <c r="H922" s="14"/>
      <c r="J922" s="14"/>
      <c r="N922" s="9"/>
      <c r="P922" s="9"/>
      <c r="U922" s="14"/>
      <c r="V922" s="9"/>
    </row>
    <row r="923">
      <c r="B923" s="9"/>
      <c r="H923" s="14"/>
      <c r="J923" s="14"/>
      <c r="N923" s="9"/>
      <c r="P923" s="9"/>
      <c r="U923" s="14"/>
      <c r="V923" s="9"/>
    </row>
    <row r="924">
      <c r="B924" s="9"/>
      <c r="H924" s="14"/>
      <c r="J924" s="14"/>
      <c r="N924" s="9"/>
      <c r="P924" s="9"/>
      <c r="U924" s="14"/>
      <c r="V924" s="9"/>
    </row>
    <row r="925">
      <c r="B925" s="9"/>
      <c r="H925" s="14"/>
      <c r="J925" s="14"/>
      <c r="N925" s="9"/>
      <c r="P925" s="9"/>
      <c r="U925" s="14"/>
      <c r="V925" s="9"/>
    </row>
    <row r="926">
      <c r="B926" s="9"/>
      <c r="H926" s="14"/>
      <c r="J926" s="14"/>
      <c r="N926" s="9"/>
      <c r="P926" s="9"/>
      <c r="U926" s="14"/>
      <c r="V926" s="9"/>
    </row>
    <row r="927">
      <c r="B927" s="9"/>
      <c r="H927" s="14"/>
      <c r="J927" s="14"/>
      <c r="N927" s="9"/>
      <c r="P927" s="9"/>
      <c r="U927" s="14"/>
      <c r="V927" s="9"/>
    </row>
    <row r="928">
      <c r="B928" s="9"/>
      <c r="H928" s="14"/>
      <c r="J928" s="14"/>
      <c r="N928" s="9"/>
      <c r="P928" s="9"/>
      <c r="U928" s="14"/>
      <c r="V928" s="9"/>
    </row>
    <row r="929">
      <c r="B929" s="9"/>
      <c r="H929" s="14"/>
      <c r="J929" s="14"/>
      <c r="N929" s="9"/>
      <c r="P929" s="9"/>
      <c r="U929" s="14"/>
      <c r="V929" s="9"/>
    </row>
    <row r="930">
      <c r="B930" s="9"/>
      <c r="H930" s="14"/>
      <c r="J930" s="14"/>
      <c r="N930" s="9"/>
      <c r="P930" s="9"/>
      <c r="U930" s="14"/>
      <c r="V930" s="9"/>
    </row>
    <row r="931">
      <c r="B931" s="9"/>
      <c r="H931" s="14"/>
      <c r="J931" s="14"/>
      <c r="N931" s="9"/>
      <c r="P931" s="9"/>
      <c r="U931" s="14"/>
      <c r="V931" s="9"/>
    </row>
    <row r="932">
      <c r="B932" s="9"/>
      <c r="H932" s="14"/>
      <c r="J932" s="14"/>
      <c r="N932" s="9"/>
      <c r="P932" s="9"/>
      <c r="U932" s="14"/>
      <c r="V932" s="9"/>
    </row>
    <row r="933">
      <c r="B933" s="9"/>
      <c r="H933" s="14"/>
      <c r="J933" s="14"/>
      <c r="N933" s="9"/>
      <c r="P933" s="9"/>
      <c r="U933" s="14"/>
      <c r="V933" s="9"/>
    </row>
    <row r="934">
      <c r="B934" s="9"/>
      <c r="H934" s="14"/>
      <c r="J934" s="14"/>
      <c r="N934" s="9"/>
      <c r="P934" s="9"/>
      <c r="U934" s="14"/>
      <c r="V934" s="9"/>
    </row>
    <row r="935">
      <c r="B935" s="9"/>
      <c r="H935" s="14"/>
      <c r="J935" s="14"/>
      <c r="N935" s="9"/>
      <c r="P935" s="9"/>
      <c r="U935" s="14"/>
      <c r="V935" s="9"/>
    </row>
    <row r="936">
      <c r="B936" s="9"/>
      <c r="H936" s="14"/>
      <c r="J936" s="14"/>
      <c r="N936" s="9"/>
      <c r="P936" s="9"/>
      <c r="U936" s="14"/>
      <c r="V936" s="9"/>
    </row>
    <row r="937">
      <c r="B937" s="9"/>
      <c r="H937" s="14"/>
      <c r="J937" s="14"/>
      <c r="N937" s="9"/>
      <c r="P937" s="9"/>
      <c r="U937" s="14"/>
      <c r="V937" s="9"/>
    </row>
    <row r="938">
      <c r="B938" s="9"/>
      <c r="H938" s="14"/>
      <c r="J938" s="14"/>
      <c r="N938" s="9"/>
      <c r="P938" s="9"/>
      <c r="U938" s="14"/>
      <c r="V938" s="9"/>
    </row>
    <row r="939">
      <c r="B939" s="9"/>
      <c r="H939" s="14"/>
      <c r="J939" s="14"/>
      <c r="N939" s="9"/>
      <c r="P939" s="9"/>
      <c r="U939" s="14"/>
      <c r="V939" s="9"/>
    </row>
    <row r="940">
      <c r="B940" s="9"/>
      <c r="H940" s="14"/>
      <c r="J940" s="14"/>
      <c r="N940" s="9"/>
      <c r="P940" s="9"/>
      <c r="U940" s="14"/>
      <c r="V940" s="9"/>
    </row>
    <row r="941">
      <c r="B941" s="9"/>
      <c r="H941" s="14"/>
      <c r="J941" s="14"/>
      <c r="N941" s="9"/>
      <c r="P941" s="9"/>
      <c r="U941" s="14"/>
      <c r="V941" s="9"/>
    </row>
    <row r="942">
      <c r="B942" s="9"/>
      <c r="H942" s="14"/>
      <c r="J942" s="14"/>
      <c r="N942" s="9"/>
      <c r="P942" s="9"/>
      <c r="U942" s="14"/>
      <c r="V942" s="9"/>
    </row>
    <row r="943">
      <c r="B943" s="9"/>
      <c r="H943" s="14"/>
      <c r="J943" s="14"/>
      <c r="N943" s="9"/>
      <c r="P943" s="9"/>
      <c r="U943" s="14"/>
      <c r="V943" s="9"/>
    </row>
    <row r="944">
      <c r="B944" s="9"/>
      <c r="H944" s="14"/>
      <c r="J944" s="14"/>
      <c r="N944" s="9"/>
      <c r="P944" s="9"/>
      <c r="U944" s="14"/>
      <c r="V944" s="9"/>
    </row>
    <row r="945">
      <c r="B945" s="9"/>
      <c r="H945" s="14"/>
      <c r="J945" s="14"/>
      <c r="N945" s="9"/>
      <c r="P945" s="9"/>
      <c r="U945" s="14"/>
      <c r="V945" s="9"/>
    </row>
    <row r="946">
      <c r="B946" s="9"/>
      <c r="H946" s="14"/>
      <c r="J946" s="14"/>
      <c r="N946" s="9"/>
      <c r="P946" s="9"/>
      <c r="U946" s="14"/>
      <c r="V946" s="9"/>
    </row>
    <row r="947">
      <c r="B947" s="9"/>
      <c r="H947" s="14"/>
      <c r="J947" s="14"/>
      <c r="N947" s="9"/>
      <c r="P947" s="9"/>
      <c r="U947" s="14"/>
      <c r="V947" s="9"/>
    </row>
    <row r="948">
      <c r="B948" s="9"/>
      <c r="H948" s="14"/>
      <c r="J948" s="14"/>
      <c r="N948" s="9"/>
      <c r="P948" s="9"/>
      <c r="U948" s="14"/>
      <c r="V948" s="9"/>
    </row>
    <row r="949">
      <c r="B949" s="9"/>
      <c r="H949" s="14"/>
      <c r="J949" s="14"/>
      <c r="N949" s="9"/>
      <c r="P949" s="9"/>
      <c r="U949" s="14"/>
      <c r="V949" s="9"/>
    </row>
    <row r="950">
      <c r="B950" s="9"/>
      <c r="H950" s="14"/>
      <c r="J950" s="14"/>
      <c r="N950" s="9"/>
      <c r="P950" s="9"/>
      <c r="U950" s="14"/>
      <c r="V950" s="9"/>
    </row>
    <row r="951">
      <c r="B951" s="9"/>
      <c r="H951" s="14"/>
      <c r="J951" s="14"/>
      <c r="N951" s="9"/>
      <c r="P951" s="9"/>
      <c r="U951" s="14"/>
      <c r="V951" s="9"/>
    </row>
    <row r="952">
      <c r="B952" s="9"/>
      <c r="H952" s="14"/>
      <c r="J952" s="14"/>
      <c r="N952" s="9"/>
      <c r="P952" s="9"/>
      <c r="U952" s="14"/>
      <c r="V952" s="9"/>
    </row>
    <row r="953">
      <c r="B953" s="9"/>
      <c r="H953" s="14"/>
      <c r="J953" s="14"/>
      <c r="N953" s="9"/>
      <c r="P953" s="9"/>
      <c r="U953" s="14"/>
      <c r="V953" s="9"/>
    </row>
    <row r="954">
      <c r="B954" s="9"/>
      <c r="H954" s="14"/>
      <c r="J954" s="14"/>
      <c r="N954" s="9"/>
      <c r="P954" s="9"/>
      <c r="U954" s="14"/>
      <c r="V954" s="9"/>
    </row>
    <row r="955">
      <c r="B955" s="9"/>
      <c r="H955" s="14"/>
      <c r="J955" s="14"/>
      <c r="N955" s="9"/>
      <c r="P955" s="9"/>
      <c r="U955" s="14"/>
      <c r="V955" s="9"/>
    </row>
    <row r="956">
      <c r="B956" s="9"/>
      <c r="H956" s="14"/>
      <c r="J956" s="14"/>
      <c r="N956" s="9"/>
      <c r="P956" s="9"/>
      <c r="U956" s="14"/>
      <c r="V956" s="9"/>
    </row>
    <row r="957">
      <c r="B957" s="9"/>
      <c r="H957" s="14"/>
      <c r="J957" s="14"/>
      <c r="N957" s="9"/>
      <c r="P957" s="9"/>
      <c r="U957" s="14"/>
      <c r="V957" s="9"/>
    </row>
    <row r="958">
      <c r="B958" s="9"/>
      <c r="H958" s="14"/>
      <c r="J958" s="14"/>
      <c r="N958" s="9"/>
      <c r="P958" s="9"/>
      <c r="U958" s="14"/>
      <c r="V958" s="9"/>
    </row>
    <row r="959">
      <c r="B959" s="9"/>
      <c r="H959" s="14"/>
      <c r="J959" s="14"/>
      <c r="N959" s="9"/>
      <c r="P959" s="9"/>
      <c r="U959" s="14"/>
      <c r="V959" s="9"/>
    </row>
    <row r="960">
      <c r="B960" s="9"/>
      <c r="H960" s="14"/>
      <c r="J960" s="14"/>
      <c r="N960" s="9"/>
      <c r="P960" s="9"/>
      <c r="U960" s="14"/>
      <c r="V960" s="9"/>
    </row>
    <row r="961">
      <c r="B961" s="9"/>
      <c r="H961" s="14"/>
      <c r="J961" s="14"/>
      <c r="N961" s="9"/>
      <c r="P961" s="9"/>
      <c r="U961" s="14"/>
      <c r="V961" s="9"/>
    </row>
    <row r="962">
      <c r="B962" s="9"/>
      <c r="H962" s="14"/>
      <c r="J962" s="14"/>
      <c r="N962" s="9"/>
      <c r="P962" s="9"/>
      <c r="U962" s="14"/>
      <c r="V962" s="9"/>
    </row>
    <row r="963">
      <c r="B963" s="9"/>
      <c r="H963" s="14"/>
      <c r="J963" s="14"/>
      <c r="N963" s="9"/>
      <c r="P963" s="9"/>
      <c r="U963" s="14"/>
      <c r="V963" s="9"/>
    </row>
    <row r="964">
      <c r="B964" s="9"/>
      <c r="H964" s="14"/>
      <c r="J964" s="14"/>
      <c r="N964" s="9"/>
      <c r="P964" s="9"/>
      <c r="U964" s="14"/>
      <c r="V964" s="9"/>
    </row>
    <row r="965">
      <c r="B965" s="9"/>
      <c r="H965" s="14"/>
      <c r="J965" s="14"/>
      <c r="N965" s="9"/>
      <c r="P965" s="9"/>
      <c r="U965" s="14"/>
      <c r="V965" s="9"/>
    </row>
    <row r="966">
      <c r="B966" s="9"/>
      <c r="H966" s="14"/>
      <c r="J966" s="14"/>
      <c r="N966" s="9"/>
      <c r="P966" s="9"/>
      <c r="U966" s="14"/>
      <c r="V966" s="9"/>
    </row>
    <row r="967">
      <c r="B967" s="9"/>
      <c r="H967" s="14"/>
      <c r="J967" s="14"/>
      <c r="N967" s="9"/>
      <c r="P967" s="9"/>
      <c r="U967" s="14"/>
      <c r="V967" s="9"/>
    </row>
    <row r="968">
      <c r="B968" s="9"/>
      <c r="H968" s="14"/>
      <c r="J968" s="14"/>
      <c r="N968" s="9"/>
      <c r="P968" s="9"/>
      <c r="U968" s="14"/>
      <c r="V968" s="9"/>
    </row>
    <row r="969">
      <c r="B969" s="9"/>
      <c r="H969" s="14"/>
      <c r="J969" s="14"/>
      <c r="N969" s="9"/>
      <c r="P969" s="9"/>
      <c r="U969" s="14"/>
      <c r="V969" s="9"/>
    </row>
    <row r="970">
      <c r="B970" s="9"/>
      <c r="H970" s="14"/>
      <c r="J970" s="14"/>
      <c r="N970" s="9"/>
      <c r="P970" s="9"/>
      <c r="U970" s="14"/>
      <c r="V970" s="9"/>
    </row>
    <row r="971">
      <c r="B971" s="9"/>
      <c r="H971" s="14"/>
      <c r="J971" s="14"/>
      <c r="N971" s="9"/>
      <c r="P971" s="9"/>
      <c r="U971" s="14"/>
      <c r="V971" s="9"/>
    </row>
    <row r="972">
      <c r="B972" s="9"/>
      <c r="H972" s="14"/>
      <c r="J972" s="14"/>
      <c r="N972" s="9"/>
      <c r="P972" s="9"/>
      <c r="U972" s="14"/>
      <c r="V972" s="9"/>
    </row>
    <row r="973">
      <c r="B973" s="9"/>
      <c r="H973" s="14"/>
      <c r="J973" s="14"/>
      <c r="N973" s="9"/>
      <c r="P973" s="9"/>
      <c r="U973" s="14"/>
      <c r="V973" s="9"/>
    </row>
    <row r="974">
      <c r="B974" s="9"/>
      <c r="H974" s="14"/>
      <c r="J974" s="14"/>
      <c r="N974" s="9"/>
      <c r="P974" s="9"/>
      <c r="U974" s="14"/>
      <c r="V974" s="9"/>
    </row>
    <row r="975">
      <c r="B975" s="9"/>
      <c r="H975" s="14"/>
      <c r="J975" s="14"/>
      <c r="N975" s="9"/>
      <c r="P975" s="9"/>
      <c r="U975" s="14"/>
      <c r="V975" s="9"/>
    </row>
    <row r="976">
      <c r="B976" s="9"/>
      <c r="H976" s="14"/>
      <c r="J976" s="14"/>
      <c r="N976" s="9"/>
      <c r="P976" s="9"/>
      <c r="U976" s="14"/>
      <c r="V976" s="9"/>
    </row>
    <row r="977">
      <c r="B977" s="9"/>
      <c r="H977" s="14"/>
      <c r="J977" s="14"/>
      <c r="N977" s="9"/>
      <c r="P977" s="9"/>
      <c r="U977" s="14"/>
      <c r="V977" s="9"/>
    </row>
    <row r="978">
      <c r="B978" s="9"/>
      <c r="H978" s="14"/>
      <c r="J978" s="14"/>
      <c r="N978" s="9"/>
      <c r="P978" s="9"/>
      <c r="U978" s="14"/>
      <c r="V978" s="9"/>
    </row>
    <row r="979">
      <c r="B979" s="9"/>
      <c r="H979" s="14"/>
      <c r="J979" s="14"/>
      <c r="N979" s="9"/>
      <c r="P979" s="9"/>
      <c r="U979" s="14"/>
      <c r="V979" s="9"/>
    </row>
    <row r="980">
      <c r="B980" s="9"/>
      <c r="H980" s="14"/>
      <c r="J980" s="14"/>
      <c r="N980" s="9"/>
      <c r="P980" s="9"/>
      <c r="U980" s="14"/>
      <c r="V980" s="9"/>
    </row>
    <row r="981">
      <c r="B981" s="9"/>
      <c r="H981" s="14"/>
      <c r="J981" s="14"/>
      <c r="N981" s="9"/>
      <c r="P981" s="9"/>
      <c r="U981" s="14"/>
      <c r="V981" s="9"/>
    </row>
    <row r="982">
      <c r="B982" s="9"/>
      <c r="H982" s="14"/>
      <c r="J982" s="14"/>
      <c r="N982" s="9"/>
      <c r="P982" s="9"/>
      <c r="U982" s="14"/>
      <c r="V982" s="9"/>
    </row>
    <row r="983">
      <c r="B983" s="9"/>
      <c r="H983" s="14"/>
      <c r="J983" s="14"/>
      <c r="N983" s="9"/>
      <c r="P983" s="9"/>
      <c r="U983" s="14"/>
      <c r="V983" s="9"/>
    </row>
    <row r="984">
      <c r="B984" s="9"/>
      <c r="H984" s="14"/>
      <c r="J984" s="14"/>
      <c r="N984" s="9"/>
      <c r="P984" s="9"/>
      <c r="U984" s="14"/>
      <c r="V984" s="9"/>
    </row>
    <row r="985">
      <c r="B985" s="9"/>
      <c r="H985" s="14"/>
      <c r="J985" s="14"/>
      <c r="N985" s="9"/>
      <c r="P985" s="9"/>
      <c r="U985" s="14"/>
      <c r="V985" s="9"/>
    </row>
    <row r="986">
      <c r="B986" s="9"/>
      <c r="H986" s="14"/>
      <c r="J986" s="14"/>
      <c r="N986" s="9"/>
      <c r="P986" s="9"/>
      <c r="U986" s="14"/>
      <c r="V986" s="9"/>
    </row>
    <row r="987">
      <c r="B987" s="9"/>
      <c r="H987" s="14"/>
      <c r="J987" s="14"/>
      <c r="N987" s="9"/>
      <c r="P987" s="9"/>
      <c r="U987" s="14"/>
      <c r="V987" s="9"/>
    </row>
    <row r="988">
      <c r="B988" s="9"/>
      <c r="H988" s="14"/>
      <c r="J988" s="14"/>
      <c r="N988" s="9"/>
      <c r="P988" s="9"/>
      <c r="U988" s="14"/>
      <c r="V988" s="9"/>
    </row>
    <row r="989">
      <c r="B989" s="9"/>
      <c r="H989" s="14"/>
      <c r="J989" s="14"/>
      <c r="N989" s="9"/>
      <c r="P989" s="9"/>
      <c r="U989" s="14"/>
      <c r="V989" s="9"/>
    </row>
    <row r="990">
      <c r="B990" s="9"/>
      <c r="H990" s="14"/>
      <c r="J990" s="14"/>
      <c r="N990" s="9"/>
      <c r="P990" s="9"/>
      <c r="U990" s="14"/>
      <c r="V990" s="9"/>
    </row>
    <row r="991">
      <c r="B991" s="9"/>
      <c r="H991" s="14"/>
      <c r="J991" s="14"/>
      <c r="N991" s="9"/>
      <c r="P991" s="9"/>
      <c r="U991" s="14"/>
      <c r="V991" s="9"/>
    </row>
    <row r="992">
      <c r="B992" s="9"/>
      <c r="H992" s="14"/>
      <c r="J992" s="14"/>
      <c r="N992" s="9"/>
      <c r="P992" s="9"/>
      <c r="U992" s="14"/>
      <c r="V992" s="9"/>
    </row>
    <row r="993">
      <c r="B993" s="9"/>
      <c r="H993" s="14"/>
      <c r="J993" s="14"/>
      <c r="N993" s="9"/>
      <c r="P993" s="9"/>
      <c r="U993" s="14"/>
      <c r="V993" s="9"/>
    </row>
    <row r="994">
      <c r="B994" s="9"/>
      <c r="H994" s="14"/>
      <c r="J994" s="14"/>
      <c r="N994" s="9"/>
      <c r="P994" s="9"/>
      <c r="U994" s="14"/>
      <c r="V994" s="9"/>
    </row>
    <row r="995">
      <c r="B995" s="9"/>
      <c r="H995" s="14"/>
      <c r="J995" s="14"/>
      <c r="N995" s="9"/>
      <c r="P995" s="9"/>
      <c r="U995" s="14"/>
      <c r="V995" s="9"/>
    </row>
    <row r="996">
      <c r="B996" s="9"/>
      <c r="H996" s="14"/>
      <c r="J996" s="14"/>
      <c r="N996" s="9"/>
      <c r="P996" s="9"/>
      <c r="U996" s="14"/>
      <c r="V996" s="9"/>
    </row>
    <row r="997">
      <c r="B997" s="9"/>
      <c r="H997" s="14"/>
      <c r="J997" s="14"/>
      <c r="N997" s="9"/>
      <c r="P997" s="9"/>
      <c r="U997" s="14"/>
      <c r="V997" s="9"/>
    </row>
    <row r="998">
      <c r="B998" s="9"/>
      <c r="H998" s="14"/>
      <c r="J998" s="14"/>
      <c r="N998" s="9"/>
      <c r="P998" s="9"/>
      <c r="U998" s="14"/>
      <c r="V998" s="9"/>
    </row>
    <row r="999">
      <c r="B999" s="9"/>
      <c r="H999" s="14"/>
      <c r="J999" s="14"/>
      <c r="N999" s="9"/>
      <c r="P999" s="9"/>
      <c r="U999" s="14"/>
      <c r="V999" s="9"/>
    </row>
    <row r="1000">
      <c r="B1000" s="9"/>
      <c r="H1000" s="14"/>
      <c r="J1000" s="14"/>
      <c r="N1000" s="9"/>
      <c r="P1000" s="9"/>
      <c r="U1000" s="14"/>
      <c r="V1000" s="9"/>
    </row>
  </sheetData>
  <dataValidations>
    <dataValidation type="list" allowBlank="1" showErrorMessage="1" sqref="B2:B1000">
      <formula1>"1,2,3,4"</formula1>
    </dataValidation>
    <dataValidation type="list" allowBlank="1" showErrorMessage="1" sqref="N2:N1000">
      <formula1>"Cluster Posts,PILLAR"</formula1>
    </dataValidation>
    <dataValidation type="list" allowBlank="1" showErrorMessage="1" sqref="V2:V1000">
      <formula1>"Planned,Trend"</formula1>
    </dataValidation>
    <dataValidation type="list" allowBlank="1" showErrorMessage="1" sqref="P2:P1000">
      <formula1>"Not Started,Planning,Writing,Review,Published"</formula1>
    </dataValidation>
  </dataValidations>
  <hyperlinks>
    <hyperlink r:id="rId1" ref="U2"/>
    <hyperlink r:id="rId2" ref="U3"/>
    <hyperlink r:id="rId3" ref="U4"/>
    <hyperlink r:id="rId4" ref="U5"/>
    <hyperlink r:id="rId5" ref="U6"/>
    <hyperlink r:id="rId6" ref="U7"/>
    <hyperlink r:id="rId7" ref="U8"/>
    <hyperlink r:id="rId8" ref="U9"/>
    <hyperlink r:id="rId9" ref="U10"/>
    <hyperlink r:id="rId10" ref="U11"/>
    <hyperlink r:id="rId11" ref="U1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224</v>
      </c>
      <c r="B1" s="5" t="s">
        <v>225</v>
      </c>
      <c r="C1" s="5" t="s">
        <v>226</v>
      </c>
      <c r="D1" s="5" t="s">
        <v>12</v>
      </c>
      <c r="E1" s="5" t="s">
        <v>227</v>
      </c>
      <c r="F1" s="5" t="s">
        <v>228</v>
      </c>
    </row>
  </sheetData>
  <drawing r:id="rId1"/>
</worksheet>
</file>